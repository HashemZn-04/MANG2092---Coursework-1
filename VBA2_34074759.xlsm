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24e3b314712b0fc/Documents/Southampton Uni/Year 2/Semester 1/Business Analytics Programming II/Assignment 1/"/>
    </mc:Choice>
  </mc:AlternateContent>
  <xr:revisionPtr revIDLastSave="5070" documentId="8_{B073B5CA-030A-45CE-8737-CE40D1C77DFD}" xr6:coauthVersionLast="47" xr6:coauthVersionMax="47" xr10:uidLastSave="{1892C13F-3C18-4446-BE85-6BDA6362A415}"/>
  <bookViews>
    <workbookView minimized="1" xWindow="-25260" yWindow="2250" windowWidth="17325" windowHeight="13275" activeTab="2" xr2:uid="{F7AA6E58-1C40-4D89-8299-116F7A86F057}"/>
  </bookViews>
  <sheets>
    <sheet name="Calculator" sheetId="1" r:id="rId1"/>
    <sheet name="Random Calculator Dashboard" sheetId="4" r:id="rId2"/>
    <sheet name="Manual Calculator Dashboard" sheetId="3" r:id="rId3"/>
    <sheet name="Forecast Values" sheetId="5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9" i="5" l="1"/>
  <c r="D70" i="5"/>
  <c r="D71" i="5"/>
  <c r="D72" i="5"/>
  <c r="D73" i="5"/>
  <c r="D74" i="5"/>
  <c r="D75" i="5"/>
  <c r="D76" i="5"/>
  <c r="D77" i="5"/>
  <c r="D78" i="5"/>
  <c r="C70" i="5"/>
  <c r="C71" i="5"/>
  <c r="C72" i="5"/>
  <c r="C73" i="5"/>
  <c r="C74" i="5"/>
  <c r="C75" i="5"/>
  <c r="C76" i="5"/>
  <c r="C77" i="5"/>
  <c r="C78" i="5"/>
  <c r="C69" i="5"/>
  <c r="D57" i="5"/>
  <c r="D58" i="5"/>
  <c r="D59" i="5"/>
  <c r="D60" i="5"/>
  <c r="D61" i="5"/>
  <c r="D62" i="5"/>
  <c r="D63" i="5"/>
  <c r="D64" i="5"/>
  <c r="D65" i="5"/>
  <c r="C57" i="5"/>
  <c r="C58" i="5"/>
  <c r="C59" i="5"/>
  <c r="C60" i="5"/>
  <c r="C61" i="5"/>
  <c r="C62" i="5"/>
  <c r="C63" i="5"/>
  <c r="C64" i="5"/>
  <c r="C65" i="5"/>
  <c r="E57" i="5"/>
  <c r="F57" i="5"/>
  <c r="G57" i="5"/>
  <c r="H57" i="5"/>
  <c r="I57" i="5"/>
  <c r="J57" i="5"/>
  <c r="K57" i="5"/>
  <c r="L57" i="5"/>
  <c r="M57" i="5"/>
  <c r="N57" i="5"/>
  <c r="O57" i="5"/>
  <c r="P57" i="5"/>
  <c r="Q57" i="5"/>
  <c r="E58" i="5"/>
  <c r="F58" i="5"/>
  <c r="G58" i="5"/>
  <c r="H58" i="5"/>
  <c r="I58" i="5"/>
  <c r="J58" i="5"/>
  <c r="K58" i="5"/>
  <c r="L58" i="5"/>
  <c r="M58" i="5"/>
  <c r="N58" i="5"/>
  <c r="O58" i="5"/>
  <c r="P58" i="5"/>
  <c r="Q58" i="5"/>
  <c r="E59" i="5"/>
  <c r="F59" i="5"/>
  <c r="G59" i="5"/>
  <c r="H59" i="5"/>
  <c r="I59" i="5"/>
  <c r="J59" i="5"/>
  <c r="K59" i="5"/>
  <c r="L59" i="5"/>
  <c r="M59" i="5"/>
  <c r="N59" i="5"/>
  <c r="O59" i="5"/>
  <c r="P59" i="5"/>
  <c r="Q59" i="5"/>
  <c r="E60" i="5"/>
  <c r="F60" i="5"/>
  <c r="G60" i="5"/>
  <c r="H60" i="5"/>
  <c r="I60" i="5"/>
  <c r="J60" i="5"/>
  <c r="K60" i="5"/>
  <c r="L60" i="5"/>
  <c r="M60" i="5"/>
  <c r="N60" i="5"/>
  <c r="O60" i="5"/>
  <c r="P60" i="5"/>
  <c r="Q60" i="5"/>
  <c r="E61" i="5"/>
  <c r="F61" i="5"/>
  <c r="G61" i="5"/>
  <c r="H61" i="5"/>
  <c r="I61" i="5"/>
  <c r="J61" i="5"/>
  <c r="K61" i="5"/>
  <c r="L61" i="5"/>
  <c r="M61" i="5"/>
  <c r="N61" i="5"/>
  <c r="O61" i="5"/>
  <c r="P61" i="5"/>
  <c r="Q61" i="5"/>
  <c r="E62" i="5"/>
  <c r="F62" i="5"/>
  <c r="G62" i="5"/>
  <c r="H62" i="5"/>
  <c r="I62" i="5"/>
  <c r="J62" i="5"/>
  <c r="K62" i="5"/>
  <c r="L62" i="5"/>
  <c r="M62" i="5"/>
  <c r="N62" i="5"/>
  <c r="O62" i="5"/>
  <c r="P62" i="5"/>
  <c r="Q62" i="5"/>
  <c r="E63" i="5"/>
  <c r="F63" i="5"/>
  <c r="G63" i="5"/>
  <c r="H63" i="5"/>
  <c r="I63" i="5"/>
  <c r="J63" i="5"/>
  <c r="K63" i="5"/>
  <c r="L63" i="5"/>
  <c r="M63" i="5"/>
  <c r="N63" i="5"/>
  <c r="O63" i="5"/>
  <c r="P63" i="5"/>
  <c r="Q63" i="5"/>
  <c r="E64" i="5"/>
  <c r="F64" i="5"/>
  <c r="G64" i="5"/>
  <c r="H64" i="5"/>
  <c r="I64" i="5"/>
  <c r="J64" i="5"/>
  <c r="K64" i="5"/>
  <c r="L64" i="5"/>
  <c r="M64" i="5"/>
  <c r="N64" i="5"/>
  <c r="O64" i="5"/>
  <c r="P64" i="5"/>
  <c r="Q64" i="5"/>
  <c r="E65" i="5"/>
  <c r="F65" i="5"/>
  <c r="G65" i="5"/>
  <c r="H65" i="5"/>
  <c r="I65" i="5"/>
  <c r="J65" i="5"/>
  <c r="K65" i="5"/>
  <c r="L65" i="5"/>
  <c r="M65" i="5"/>
  <c r="N65" i="5"/>
  <c r="O65" i="5"/>
  <c r="P65" i="5"/>
  <c r="Q65" i="5"/>
  <c r="E66" i="5"/>
  <c r="F66" i="5"/>
  <c r="G66" i="5"/>
  <c r="H66" i="5"/>
  <c r="I66" i="5"/>
  <c r="J66" i="5"/>
  <c r="K66" i="5"/>
  <c r="L66" i="5"/>
  <c r="M66" i="5"/>
  <c r="N66" i="5"/>
  <c r="O66" i="5"/>
  <c r="P66" i="5"/>
  <c r="Q66" i="5"/>
  <c r="E67" i="5"/>
  <c r="F67" i="5"/>
  <c r="G67" i="5"/>
  <c r="H67" i="5"/>
  <c r="I67" i="5"/>
  <c r="J67" i="5"/>
  <c r="K67" i="5"/>
  <c r="L67" i="5"/>
  <c r="M67" i="5"/>
  <c r="N67" i="5"/>
  <c r="O67" i="5"/>
  <c r="P67" i="5"/>
  <c r="Q67" i="5"/>
  <c r="E69" i="5"/>
  <c r="F69" i="5"/>
  <c r="G69" i="5"/>
  <c r="H69" i="5"/>
  <c r="I69" i="5"/>
  <c r="J69" i="5"/>
  <c r="K69" i="5"/>
  <c r="L69" i="5"/>
  <c r="M69" i="5"/>
  <c r="N69" i="5"/>
  <c r="O69" i="5"/>
  <c r="P69" i="5"/>
  <c r="Q69" i="5"/>
  <c r="E70" i="5"/>
  <c r="F70" i="5"/>
  <c r="G70" i="5"/>
  <c r="H70" i="5"/>
  <c r="I70" i="5"/>
  <c r="J70" i="5"/>
  <c r="K70" i="5"/>
  <c r="L70" i="5"/>
  <c r="M70" i="5"/>
  <c r="N70" i="5"/>
  <c r="O70" i="5"/>
  <c r="P70" i="5"/>
  <c r="Q70" i="5"/>
  <c r="E71" i="5"/>
  <c r="F71" i="5"/>
  <c r="G71" i="5"/>
  <c r="H71" i="5"/>
  <c r="I71" i="5"/>
  <c r="J71" i="5"/>
  <c r="K71" i="5"/>
  <c r="L71" i="5"/>
  <c r="M71" i="5"/>
  <c r="N71" i="5"/>
  <c r="O71" i="5"/>
  <c r="P71" i="5"/>
  <c r="Q71" i="5"/>
  <c r="E72" i="5"/>
  <c r="F72" i="5"/>
  <c r="G72" i="5"/>
  <c r="H72" i="5"/>
  <c r="I72" i="5"/>
  <c r="J72" i="5"/>
  <c r="K72" i="5"/>
  <c r="L72" i="5"/>
  <c r="M72" i="5"/>
  <c r="N72" i="5"/>
  <c r="O72" i="5"/>
  <c r="P72" i="5"/>
  <c r="Q72" i="5"/>
  <c r="E73" i="5"/>
  <c r="F73" i="5"/>
  <c r="G73" i="5"/>
  <c r="H73" i="5"/>
  <c r="I73" i="5"/>
  <c r="J73" i="5"/>
  <c r="K73" i="5"/>
  <c r="L73" i="5"/>
  <c r="M73" i="5"/>
  <c r="N73" i="5"/>
  <c r="O73" i="5"/>
  <c r="P73" i="5"/>
  <c r="Q73" i="5"/>
  <c r="E74" i="5"/>
  <c r="F74" i="5"/>
  <c r="G74" i="5"/>
  <c r="H74" i="5"/>
  <c r="I74" i="5"/>
  <c r="J74" i="5"/>
  <c r="K74" i="5"/>
  <c r="L74" i="5"/>
  <c r="M74" i="5"/>
  <c r="N74" i="5"/>
  <c r="O74" i="5"/>
  <c r="P74" i="5"/>
  <c r="Q74" i="5"/>
  <c r="E75" i="5"/>
  <c r="F75" i="5"/>
  <c r="G75" i="5"/>
  <c r="H75" i="5"/>
  <c r="I75" i="5"/>
  <c r="J75" i="5"/>
  <c r="K75" i="5"/>
  <c r="L75" i="5"/>
  <c r="M75" i="5"/>
  <c r="N75" i="5"/>
  <c r="O75" i="5"/>
  <c r="P75" i="5"/>
  <c r="Q75" i="5"/>
  <c r="E76" i="5"/>
  <c r="F76" i="5"/>
  <c r="G76" i="5"/>
  <c r="H76" i="5"/>
  <c r="I76" i="5"/>
  <c r="J76" i="5"/>
  <c r="K76" i="5"/>
  <c r="L76" i="5"/>
  <c r="M76" i="5"/>
  <c r="N76" i="5"/>
  <c r="O76" i="5"/>
  <c r="P76" i="5"/>
  <c r="Q76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F56" i="5"/>
  <c r="G56" i="5"/>
  <c r="H56" i="5"/>
  <c r="I56" i="5"/>
  <c r="J56" i="5"/>
  <c r="K56" i="5"/>
  <c r="L56" i="5"/>
  <c r="M56" i="5"/>
  <c r="N56" i="5"/>
  <c r="O56" i="5"/>
  <c r="P56" i="5"/>
  <c r="Q56" i="5"/>
  <c r="C56" i="5"/>
  <c r="D56" i="5"/>
  <c r="E56" i="5"/>
  <c r="B57" i="5"/>
  <c r="B58" i="5"/>
  <c r="B59" i="5"/>
  <c r="B60" i="5"/>
  <c r="B61" i="5"/>
  <c r="B62" i="5"/>
  <c r="B63" i="5"/>
  <c r="B64" i="5"/>
  <c r="B65" i="5"/>
  <c r="B66" i="5"/>
  <c r="B67" i="5"/>
  <c r="B69" i="5"/>
  <c r="B70" i="5"/>
  <c r="B71" i="5"/>
  <c r="B72" i="5"/>
  <c r="B73" i="5"/>
  <c r="B74" i="5"/>
  <c r="B75" i="5"/>
  <c r="B76" i="5"/>
  <c r="B77" i="5"/>
  <c r="B78" i="5"/>
  <c r="B56" i="5"/>
  <c r="M22" i="3"/>
  <c r="M19" i="3"/>
  <c r="M16" i="3"/>
</calcChain>
</file>

<file path=xl/sharedStrings.xml><?xml version="1.0" encoding="utf-8"?>
<sst xmlns="http://schemas.openxmlformats.org/spreadsheetml/2006/main" count="164" uniqueCount="63">
  <si>
    <t>ASSET MANAGEMENT CALCULATOR</t>
  </si>
  <si>
    <t>Class</t>
  </si>
  <si>
    <t>Allocation limit</t>
  </si>
  <si>
    <t>Asset Class 1</t>
  </si>
  <si>
    <t>Asset Class 2</t>
  </si>
  <si>
    <t>Asset Class 3</t>
  </si>
  <si>
    <t>Bank Class</t>
  </si>
  <si>
    <t>&gt; To get started, please enter the allocation for each asset and bank class</t>
  </si>
  <si>
    <t>Class 1 Returns</t>
  </si>
  <si>
    <t>Bank Returns</t>
  </si>
  <si>
    <t>Class 2 Returns</t>
  </si>
  <si>
    <t>Class 3 Returns</t>
  </si>
  <si>
    <t>Total Returns</t>
  </si>
  <si>
    <t>Best-case return</t>
  </si>
  <si>
    <t>Worst-case return</t>
  </si>
  <si>
    <t>ROI</t>
  </si>
  <si>
    <t>Profit</t>
  </si>
  <si>
    <t>Current return</t>
  </si>
  <si>
    <t>Class 1: Consumer return</t>
  </si>
  <si>
    <t>Class 1: AI and IT return</t>
  </si>
  <si>
    <t>Class 2: Bank return</t>
  </si>
  <si>
    <t>Class 2: AI and IT return</t>
  </si>
  <si>
    <t>Class 2: Energy return</t>
  </si>
  <si>
    <t>Class 3: GSC return</t>
  </si>
  <si>
    <t>Class 3: Automotive return</t>
  </si>
  <si>
    <t>Class 3: Energy return</t>
  </si>
  <si>
    <t>Class 1: Energy return</t>
  </si>
  <si>
    <t>Class 3 return</t>
  </si>
  <si>
    <t>Class 2 return</t>
  </si>
  <si>
    <t>Class 1 return</t>
  </si>
  <si>
    <t>Bank Interest Rate</t>
  </si>
  <si>
    <t>Year 1</t>
  </si>
  <si>
    <t>Year 2</t>
  </si>
  <si>
    <t>Year 3</t>
  </si>
  <si>
    <t>Year</t>
  </si>
  <si>
    <t>Subsector</t>
  </si>
  <si>
    <t>Energy</t>
  </si>
  <si>
    <t>Consumer</t>
  </si>
  <si>
    <t>AI and IT</t>
  </si>
  <si>
    <t>Banks</t>
  </si>
  <si>
    <t>GSC</t>
  </si>
  <si>
    <t>Automotive</t>
  </si>
  <si>
    <t>Return Rate</t>
  </si>
  <si>
    <t>Allocation</t>
  </si>
  <si>
    <t>Class 1</t>
  </si>
  <si>
    <t>Class 2</t>
  </si>
  <si>
    <t>Class 3</t>
  </si>
  <si>
    <t>Year 4</t>
  </si>
  <si>
    <t>Year 5</t>
  </si>
  <si>
    <t>Year 6</t>
  </si>
  <si>
    <t>Year 7</t>
  </si>
  <si>
    <t>Year 8</t>
  </si>
  <si>
    <t>Year 9</t>
  </si>
  <si>
    <t>Year 10</t>
  </si>
  <si>
    <t>Class 3 Return</t>
  </si>
  <si>
    <t>Best-case -&gt;</t>
  </si>
  <si>
    <t xml:space="preserve">Bank Returns </t>
  </si>
  <si>
    <t>Worst-case -&gt;</t>
  </si>
  <si>
    <t>Manual Calculator</t>
  </si>
  <si>
    <t>Random Calculator</t>
  </si>
  <si>
    <t>User Manual:</t>
  </si>
  <si>
    <t>&gt; Before using the calculator, please read the user manual.</t>
  </si>
  <si>
    <t>Information: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</si>
</sst>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##&quot;%&quot;"/>
    <numFmt numFmtId="165" formatCode="#0&quot;%&quot;"/>
    <numFmt numFmtId="166" formatCode="0.##%"/>
    <numFmt numFmtId="167" formatCode="0.0#\%"/>
    <numFmt numFmtId="168" formatCode="_-[$£-809]* #,##0.00_-;\-[$£-809]* #,##0.00_-;_-[$£-809]* &quot;-&quot;??_-;_-@_-"/>
  </numFmts>
  <fonts count="14" x14ac:knownFonts="1">
    <font>
      <sz val="12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0"/>
      <name val="Arial"/>
      <family val="2"/>
    </font>
    <font>
      <sz val="14"/>
      <color theme="0"/>
      <name val="Calibri"/>
      <family val="2"/>
      <scheme val="minor"/>
    </font>
    <font>
      <sz val="8"/>
      <name val="Arial"/>
      <family val="2"/>
    </font>
    <font>
      <b/>
      <sz val="11"/>
      <color theme="0"/>
      <name val="Arial"/>
      <family val="2"/>
    </font>
    <font>
      <b/>
      <i/>
      <sz val="11"/>
      <color theme="1" tint="4.9989318521683403E-2"/>
      <name val="Arial"/>
      <family val="2"/>
    </font>
    <font>
      <sz val="14"/>
      <color rgb="FFDD2C2F"/>
      <name val="Arial"/>
      <family val="2"/>
    </font>
    <font>
      <sz val="12"/>
      <color rgb="FFDD2C2F"/>
      <name val="Arial"/>
      <family val="2"/>
    </font>
    <font>
      <sz val="12"/>
      <color theme="0"/>
      <name val="Arial"/>
      <family val="2"/>
    </font>
    <font>
      <b/>
      <i/>
      <sz val="11"/>
      <name val="Arial"/>
      <family val="2"/>
    </font>
    <font>
      <b/>
      <sz val="12"/>
      <color theme="0"/>
      <name val="Arial"/>
      <family val="2"/>
    </font>
    <font>
      <sz val="12"/>
      <color rgb="FF0066AC"/>
      <name val="Arial"/>
      <family val="2"/>
    </font>
    <font>
      <sz val="16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1523"/>
        <bgColor indexed="64"/>
      </patternFill>
    </fill>
    <fill>
      <patternFill patternType="solid">
        <fgColor rgb="FF002E4E"/>
        <bgColor indexed="64"/>
      </patternFill>
    </fill>
    <fill>
      <patternFill patternType="solid">
        <fgColor rgb="FF004D82"/>
        <bgColor indexed="64"/>
      </patternFill>
    </fill>
  </fills>
  <borders count="9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</borders>
  <cellStyleXfs count="2">
    <xf numFmtId="0" fontId="0" fillId="0" borderId="0"/>
    <xf numFmtId="44" fontId="9" fillId="0" borderId="0" applyFont="0" applyFill="0" applyBorder="0" applyAlignment="0" applyProtection="0"/>
  </cellStyleXfs>
  <cellXfs count="53">
    <xf numFmtId="0" fontId="0" fillId="0" borderId="0" xfId="0"/>
    <xf numFmtId="0" fontId="2" fillId="2" borderId="0" xfId="0" applyFont="1" applyFill="1" applyAlignment="1">
      <alignment vertical="center"/>
    </xf>
    <xf numFmtId="0" fontId="0" fillId="2" borderId="0" xfId="0" applyFill="1"/>
    <xf numFmtId="0" fontId="3" fillId="2" borderId="0" xfId="0" applyFont="1" applyFill="1" applyAlignment="1">
      <alignment horizontal="left"/>
    </xf>
    <xf numFmtId="0" fontId="5" fillId="3" borderId="0" xfId="0" applyFont="1" applyFill="1" applyAlignment="1">
      <alignment vertical="center"/>
    </xf>
    <xf numFmtId="0" fontId="5" fillId="3" borderId="4" xfId="0" applyFont="1" applyFill="1" applyBorder="1" applyAlignment="1">
      <alignment vertical="center"/>
    </xf>
    <xf numFmtId="0" fontId="5" fillId="3" borderId="2" xfId="0" applyFont="1" applyFill="1" applyBorder="1" applyAlignment="1">
      <alignment vertical="center"/>
    </xf>
    <xf numFmtId="0" fontId="7" fillId="2" borderId="0" xfId="0" applyFont="1" applyFill="1"/>
    <xf numFmtId="0" fontId="5" fillId="3" borderId="3" xfId="0" applyFont="1" applyFill="1" applyBorder="1" applyAlignment="1">
      <alignment vertical="center"/>
    </xf>
    <xf numFmtId="164" fontId="5" fillId="2" borderId="0" xfId="0" applyNumberFormat="1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165" fontId="5" fillId="2" borderId="0" xfId="0" applyNumberFormat="1" applyFont="1" applyFill="1" applyAlignment="1">
      <alignment vertical="center"/>
    </xf>
    <xf numFmtId="0" fontId="0" fillId="3" borderId="6" xfId="0" applyFill="1" applyBorder="1"/>
    <xf numFmtId="44" fontId="0" fillId="3" borderId="6" xfId="1" applyFont="1" applyFill="1" applyBorder="1" applyAlignment="1">
      <alignment vertical="center"/>
    </xf>
    <xf numFmtId="44" fontId="0" fillId="2" borderId="6" xfId="1" applyFont="1" applyFill="1" applyBorder="1"/>
    <xf numFmtId="166" fontId="0" fillId="2" borderId="6" xfId="0" applyNumberFormat="1" applyFill="1" applyBorder="1"/>
    <xf numFmtId="44" fontId="0" fillId="3" borderId="6" xfId="1" applyFont="1" applyFill="1" applyBorder="1"/>
    <xf numFmtId="0" fontId="10" fillId="4" borderId="5" xfId="0" applyFont="1" applyFill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44" fontId="11" fillId="3" borderId="6" xfId="1" applyFont="1" applyFill="1" applyBorder="1" applyAlignment="1">
      <alignment vertical="center"/>
    </xf>
    <xf numFmtId="0" fontId="11" fillId="3" borderId="6" xfId="0" applyFont="1" applyFill="1" applyBorder="1" applyAlignment="1">
      <alignment vertical="center"/>
    </xf>
    <xf numFmtId="0" fontId="11" fillId="3" borderId="6" xfId="0" applyFont="1" applyFill="1" applyBorder="1"/>
    <xf numFmtId="44" fontId="0" fillId="2" borderId="0" xfId="0" applyNumberFormat="1" applyFill="1"/>
    <xf numFmtId="44" fontId="8" fillId="2" borderId="0" xfId="0" applyNumberFormat="1" applyFont="1" applyFill="1"/>
    <xf numFmtId="167" fontId="0" fillId="2" borderId="6" xfId="0" applyNumberFormat="1" applyFill="1" applyBorder="1"/>
    <xf numFmtId="0" fontId="0" fillId="2" borderId="6" xfId="0" applyFill="1" applyBorder="1"/>
    <xf numFmtId="165" fontId="0" fillId="2" borderId="6" xfId="0" applyNumberFormat="1" applyFill="1" applyBorder="1"/>
    <xf numFmtId="0" fontId="0" fillId="2" borderId="0" xfId="0" applyFill="1" applyAlignment="1">
      <alignment horizontal="left"/>
    </xf>
    <xf numFmtId="168" fontId="0" fillId="2" borderId="6" xfId="0" applyNumberFormat="1" applyFill="1" applyBorder="1"/>
    <xf numFmtId="168" fontId="0" fillId="2" borderId="0" xfId="0" applyNumberFormat="1" applyFill="1"/>
    <xf numFmtId="44" fontId="0" fillId="2" borderId="0" xfId="1" applyFont="1" applyFill="1"/>
    <xf numFmtId="44" fontId="11" fillId="3" borderId="6" xfId="1" applyFont="1" applyFill="1" applyBorder="1"/>
    <xf numFmtId="168" fontId="11" fillId="3" borderId="6" xfId="1" applyNumberFormat="1" applyFont="1" applyFill="1" applyBorder="1" applyAlignment="1">
      <alignment vertical="center"/>
    </xf>
    <xf numFmtId="168" fontId="0" fillId="2" borderId="0" xfId="1" applyNumberFormat="1" applyFont="1" applyFill="1"/>
    <xf numFmtId="168" fontId="11" fillId="3" borderId="6" xfId="1" applyNumberFormat="1" applyFont="1" applyFill="1" applyBorder="1"/>
    <xf numFmtId="168" fontId="0" fillId="3" borderId="6" xfId="1" applyNumberFormat="1" applyFont="1" applyFill="1" applyBorder="1"/>
    <xf numFmtId="166" fontId="0" fillId="2" borderId="6" xfId="1" applyNumberFormat="1" applyFont="1" applyFill="1" applyBorder="1"/>
    <xf numFmtId="167" fontId="0" fillId="2" borderId="6" xfId="1" applyNumberFormat="1" applyFont="1" applyFill="1" applyBorder="1"/>
    <xf numFmtId="0" fontId="0" fillId="3" borderId="7" xfId="0" applyFill="1" applyBorder="1"/>
    <xf numFmtId="0" fontId="12" fillId="4" borderId="0" xfId="0" applyFont="1" applyFill="1"/>
    <xf numFmtId="0" fontId="1" fillId="4" borderId="0" xfId="0" applyFont="1" applyFill="1"/>
    <xf numFmtId="0" fontId="0" fillId="2" borderId="8" xfId="0" applyFill="1" applyBorder="1"/>
    <xf numFmtId="0" fontId="0" fillId="2" borderId="7" xfId="0" applyFill="1" applyBorder="1"/>
    <xf numFmtId="0" fontId="13" fillId="4" borderId="0" xfId="0" applyFont="1" applyFill="1"/>
    <xf numFmtId="0" fontId="1" fillId="2" borderId="0" xfId="0" applyFont="1" applyFill="1"/>
    <xf numFmtId="0" fontId="8" fillId="2" borderId="0" xfId="0" applyFont="1" applyFill="1" applyAlignment="1">
      <alignment horizontal="left"/>
    </xf>
    <xf numFmtId="0" fontId="2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top" wrapText="1"/>
    </xf>
    <xf numFmtId="0" fontId="1" fillId="2" borderId="0" xfId="0" applyFont="1" applyFill="1" applyAlignment="1">
      <alignment horizontal="left"/>
    </xf>
    <xf numFmtId="0" fontId="0" fillId="2" borderId="0" xfId="0" applyFill="1" applyAlignment="1">
      <alignment horizontal="left"/>
    </xf>
  </cellXfs>
  <cellStyles count="2">
    <cellStyle name="Currency" xfId="1" builtinId="4"/>
    <cellStyle name="Normal" xfId="0" builtinId="0" customBuiltin="1"/>
  </cellStyles>
  <dxfs count="0"/>
  <tableStyles count="0" defaultTableStyle="TableStyleMedium2" defaultPivotStyle="PivotStyleLight16"/>
  <colors>
    <mruColors>
      <color rgb="FF001523"/>
      <color rgb="FF004D82"/>
      <color rgb="FF0066AC"/>
      <color rgb="FF002E4E"/>
      <color rgb="FFDD2C2F"/>
      <color rgb="FF006A68"/>
      <color rgb="FF669966"/>
      <color rgb="FF66A366"/>
      <color rgb="FF9E0000"/>
      <color rgb="FF7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10</a:t>
            </a:r>
            <a:r>
              <a:rPr lang="en-GB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year returns forecast (million)</a:t>
            </a:r>
            <a:endParaRPr lang="en-GB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Class 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'Forecast Values'!$A$3:$A$12</c:f>
              <c:strCache>
                <c:ptCount val="10"/>
                <c:pt idx="0">
                  <c:v> Year 1 </c:v>
                </c:pt>
                <c:pt idx="1">
                  <c:v> Year 2 </c:v>
                </c:pt>
                <c:pt idx="2">
                  <c:v> Year 3 </c:v>
                </c:pt>
                <c:pt idx="3">
                  <c:v> Year 4 </c:v>
                </c:pt>
                <c:pt idx="4">
                  <c:v> Year 5 </c:v>
                </c:pt>
                <c:pt idx="5">
                  <c:v> Year 6 </c:v>
                </c:pt>
                <c:pt idx="6">
                  <c:v> Year 7 </c:v>
                </c:pt>
                <c:pt idx="7">
                  <c:v> Year 8 </c:v>
                </c:pt>
                <c:pt idx="8">
                  <c:v> Year 9 </c:v>
                </c:pt>
                <c:pt idx="9">
                  <c:v> Year 10 </c:v>
                </c:pt>
              </c:strCache>
            </c:strRef>
          </c:cat>
          <c:val>
            <c:numRef>
              <c:f>'Forecast Values'!$B$69:$B$78</c:f>
              <c:numCache>
                <c:formatCode>_-[$£-809]* #,##0.00_-;\-[$£-809]* #,##0.00_-;_-[$£-809]* "-"??_-;_-@_-</c:formatCode>
                <c:ptCount val="10"/>
                <c:pt idx="0">
                  <c:v>7560.2356588840485</c:v>
                </c:pt>
                <c:pt idx="1">
                  <c:v>8258.4590806772703</c:v>
                </c:pt>
                <c:pt idx="2">
                  <c:v>8093.4498956638199</c:v>
                </c:pt>
                <c:pt idx="3">
                  <c:v>7753.4443240925502</c:v>
                </c:pt>
                <c:pt idx="4">
                  <c:v>8062.8214660794301</c:v>
                </c:pt>
                <c:pt idx="5">
                  <c:v>8056.4398810856474</c:v>
                </c:pt>
                <c:pt idx="6">
                  <c:v>9133.9787652735122</c:v>
                </c:pt>
                <c:pt idx="7">
                  <c:v>10892.427159368121</c:v>
                </c:pt>
                <c:pt idx="8">
                  <c:v>9143.1586080759189</c:v>
                </c:pt>
                <c:pt idx="9">
                  <c:v>11636.209120183355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0-409F-B693-8D65A44DA69E}"/>
            </c:ext>
          </c:extLst>
        </c:ser>
        <c:ser>
          <c:idx val="1"/>
          <c:order val="1"/>
          <c:tx>
            <c:v>Class 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'Forecast Values'!$C$69:$C$78</c:f>
              <c:numCache>
                <c:formatCode>_-[$£-809]* #,##0.00_-;\-[$£-809]* #,##0.00_-;_-[$£-809]* "-"??_-;_-@_-</c:formatCode>
                <c:ptCount val="10"/>
                <c:pt idx="0">
                  <c:v>21259.523801803589</c:v>
                </c:pt>
                <c:pt idx="1">
                  <c:v>22099.585154222295</c:v>
                </c:pt>
                <c:pt idx="2">
                  <c:v>24511.598677160131</c:v>
                </c:pt>
                <c:pt idx="3">
                  <c:v>23973.222533479806</c:v>
                </c:pt>
                <c:pt idx="4">
                  <c:v>30527.732318124064</c:v>
                </c:pt>
                <c:pt idx="5">
                  <c:v>34794.194767220135</c:v>
                </c:pt>
                <c:pt idx="6">
                  <c:v>38207.917877689273</c:v>
                </c:pt>
                <c:pt idx="7">
                  <c:v>34499.849042837326</c:v>
                </c:pt>
                <c:pt idx="8">
                  <c:v>33895.874112288016</c:v>
                </c:pt>
                <c:pt idx="9">
                  <c:v>45653.809853431521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90-409F-B693-8D65A44DA69E}"/>
            </c:ext>
          </c:extLst>
        </c:ser>
        <c:ser>
          <c:idx val="2"/>
          <c:order val="2"/>
          <c:tx>
            <c:v>Class 3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'Forecast Values'!$D$69:$D$78</c:f>
              <c:numCache>
                <c:formatCode>_-[$£-809]* #,##0.00_-;\-[$£-809]* #,##0.00_-;_-[$£-809]* "-"??_-;_-@_-</c:formatCode>
                <c:ptCount val="10"/>
                <c:pt idx="0">
                  <c:v>12374.006989598274</c:v>
                </c:pt>
                <c:pt idx="1">
                  <c:v>12676.887173327761</c:v>
                </c:pt>
                <c:pt idx="2">
                  <c:v>11665.565760342562</c:v>
                </c:pt>
                <c:pt idx="3">
                  <c:v>11005.623307743614</c:v>
                </c:pt>
                <c:pt idx="4">
                  <c:v>12882.890817004929</c:v>
                </c:pt>
                <c:pt idx="5">
                  <c:v>11808.438800075883</c:v>
                </c:pt>
                <c:pt idx="6">
                  <c:v>14682.43043714857</c:v>
                </c:pt>
                <c:pt idx="7">
                  <c:v>10950.786031367557</c:v>
                </c:pt>
                <c:pt idx="8">
                  <c:v>14297.906552679337</c:v>
                </c:pt>
                <c:pt idx="9">
                  <c:v>14463.297014053223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90-409F-B693-8D65A44DA69E}"/>
            </c:ext>
          </c:extLst>
        </c:ser>
        <c:ser>
          <c:idx val="3"/>
          <c:order val="3"/>
          <c:tx>
            <c:v>Bank class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'Forecast Values'!$E$69:$E$78</c:f>
              <c:numCache>
                <c:formatCode>_-[$£-809]* #,##0.00_-;\-[$£-809]* #,##0.00_-;_-[$£-809]* "-"??_-;_-@_-</c:formatCode>
                <c:ptCount val="10"/>
                <c:pt idx="0">
                  <c:v>10525</c:v>
                </c:pt>
                <c:pt idx="1">
                  <c:v>11209.125</c:v>
                </c:pt>
                <c:pt idx="2">
                  <c:v>12049.809375000001</c:v>
                </c:pt>
                <c:pt idx="3">
                  <c:v>12161.25249510558</c:v>
                </c:pt>
                <c:pt idx="4">
                  <c:v>12315.800399209022</c:v>
                </c:pt>
                <c:pt idx="5">
                  <c:v>13191.058906372496</c:v>
                </c:pt>
                <c:pt idx="6">
                  <c:v>13842.395757806549</c:v>
                </c:pt>
                <c:pt idx="7">
                  <c:v>14707.430782316967</c:v>
                </c:pt>
                <c:pt idx="8">
                  <c:v>14329.714376190825</c:v>
                </c:pt>
                <c:pt idx="9">
                  <c:v>16174.749428070329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90-409F-B693-8D65A44DA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0067151"/>
        <c:axId val="1781272143"/>
      </c:barChart>
      <c:catAx>
        <c:axId val="17900671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81272143"/>
        <c:crosses val="autoZero"/>
        <c:auto val="1"/>
        <c:lblAlgn val="ctr"/>
        <c:lblOffset val="100"/>
        <c:noMultiLvlLbl val="0"/>
      </c:catAx>
      <c:valAx>
        <c:axId val="178127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90067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1523"/>
    </a:solidFill>
    <a:ln w="9525" cap="flat" cmpd="sng" algn="ctr">
      <a:solidFill>
        <a:srgbClr val="00152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10</a:t>
            </a:r>
            <a:r>
              <a:rPr lang="en-GB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year returns forecast (million) - Best case scenario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Class 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'Forecast Values'!$A$3:$A$12</c:f>
              <c:strCache>
                <c:ptCount val="10"/>
                <c:pt idx="0">
                  <c:v> Year 1 </c:v>
                </c:pt>
                <c:pt idx="1">
                  <c:v> Year 2 </c:v>
                </c:pt>
                <c:pt idx="2">
                  <c:v> Year 3 </c:v>
                </c:pt>
                <c:pt idx="3">
                  <c:v> Year 4 </c:v>
                </c:pt>
                <c:pt idx="4">
                  <c:v> Year 5 </c:v>
                </c:pt>
                <c:pt idx="5">
                  <c:v> Year 6 </c:v>
                </c:pt>
                <c:pt idx="6">
                  <c:v> Year 7 </c:v>
                </c:pt>
                <c:pt idx="7">
                  <c:v> Year 8 </c:v>
                </c:pt>
                <c:pt idx="8">
                  <c:v> Year 9 </c:v>
                </c:pt>
                <c:pt idx="9">
                  <c:v> Year 10 </c:v>
                </c:pt>
              </c:strCache>
            </c:strRef>
          </c:cat>
          <c:val>
            <c:numRef>
              <c:f>'Forecast Values'!$H$69:$H$78</c:f>
              <c:numCache>
                <c:formatCode>_-[$£-809]* #,##0.00_-;\-[$£-809]* #,##0.00_-;_-[$£-809]* "-"??_-;_-@_-</c:formatCode>
                <c:ptCount val="10"/>
                <c:pt idx="0">
                  <c:v>8002.5000000000009</c:v>
                </c:pt>
                <c:pt idx="1">
                  <c:v>8548.5750000000007</c:v>
                </c:pt>
                <c:pt idx="2">
                  <c:v>9142.7572500000006</c:v>
                </c:pt>
                <c:pt idx="3">
                  <c:v>9790.1147175000024</c:v>
                </c:pt>
                <c:pt idx="4">
                  <c:v>10496.320401525001</c:v>
                </c:pt>
                <c:pt idx="5">
                  <c:v>11267.731174845752</c:v>
                </c:pt>
                <c:pt idx="6">
                  <c:v>12111.477514549375</c:v>
                </c:pt>
                <c:pt idx="7">
                  <c:v>13035.565679624204</c:v>
                </c:pt>
                <c:pt idx="8">
                  <c:v>14048.9941220693</c:v>
                </c:pt>
                <c:pt idx="9">
                  <c:v>15161.886179586252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3C-40DA-9D5F-13AFECF8DC05}"/>
            </c:ext>
          </c:extLst>
        </c:ser>
        <c:ser>
          <c:idx val="1"/>
          <c:order val="1"/>
          <c:tx>
            <c:v>Class 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'Forecast Values'!$I$69:$I$78</c:f>
              <c:numCache>
                <c:formatCode>_-[$£-809]* #,##0.00_-;\-[$£-809]* #,##0.00_-;_-[$£-809]* "-"??_-;_-@_-</c:formatCode>
                <c:ptCount val="10"/>
                <c:pt idx="0">
                  <c:v>22160</c:v>
                </c:pt>
                <c:pt idx="1">
                  <c:v>24576.799999999999</c:v>
                </c:pt>
                <c:pt idx="2">
                  <c:v>27283.544000000002</c:v>
                </c:pt>
                <c:pt idx="3">
                  <c:v>30317.917519999999</c:v>
                </c:pt>
                <c:pt idx="4">
                  <c:v>33722.794421600003</c:v>
                </c:pt>
                <c:pt idx="5">
                  <c:v>37546.978000328003</c:v>
                </c:pt>
                <c:pt idx="6">
                  <c:v>41846.050269104242</c:v>
                </c:pt>
                <c:pt idx="7">
                  <c:v>46683.345423695078</c:v>
                </c:pt>
                <c:pt idx="8">
                  <c:v>52131.065860612558</c:v>
                </c:pt>
                <c:pt idx="9">
                  <c:v>58271.561852936713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3C-40DA-9D5F-13AFECF8DC05}"/>
            </c:ext>
          </c:extLst>
        </c:ser>
        <c:ser>
          <c:idx val="2"/>
          <c:order val="2"/>
          <c:tx>
            <c:v>Class 3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'Forecast Values'!$J$69:$J$78</c:f>
              <c:numCache>
                <c:formatCode>_-[$£-809]* #,##0.00_-;\-[$£-809]* #,##0.00_-;_-[$£-809]* "-"??_-;_-@_-</c:formatCode>
                <c:ptCount val="10"/>
                <c:pt idx="0">
                  <c:v>13200</c:v>
                </c:pt>
                <c:pt idx="1">
                  <c:v>13941</c:v>
                </c:pt>
                <c:pt idx="2">
                  <c:v>14725.530000000002</c:v>
                </c:pt>
                <c:pt idx="3">
                  <c:v>15556.284900000004</c:v>
                </c:pt>
                <c:pt idx="4">
                  <c:v>16436.135817000006</c:v>
                </c:pt>
                <c:pt idx="5">
                  <c:v>17368.142213610005</c:v>
                </c:pt>
                <c:pt idx="6">
                  <c:v>18355.564898511308</c:v>
                </c:pt>
                <c:pt idx="7">
                  <c:v>19401.879963595336</c:v>
                </c:pt>
                <c:pt idx="8">
                  <c:v>20510.793727546246</c:v>
                </c:pt>
                <c:pt idx="9">
                  <c:v>21686.258760956389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3C-40DA-9D5F-13AFECF8DC05}"/>
            </c:ext>
          </c:extLst>
        </c:ser>
        <c:ser>
          <c:idx val="3"/>
          <c:order val="3"/>
          <c:tx>
            <c:v>Bank class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'Forecast Values'!$K$69:$K$78</c:f>
              <c:numCache>
                <c:formatCode>_-[$£-809]* #,##0.00_-;\-[$£-809]* #,##0.00_-;_-[$£-809]* "-"??_-;_-@_-</c:formatCode>
                <c:ptCount val="10"/>
                <c:pt idx="0">
                  <c:v>10525</c:v>
                </c:pt>
                <c:pt idx="1">
                  <c:v>11209.125</c:v>
                </c:pt>
                <c:pt idx="2">
                  <c:v>12049.809375000001</c:v>
                </c:pt>
                <c:pt idx="3">
                  <c:v>12161.25249510558</c:v>
                </c:pt>
                <c:pt idx="4">
                  <c:v>12315.800399209022</c:v>
                </c:pt>
                <c:pt idx="5">
                  <c:v>13191.058906372496</c:v>
                </c:pt>
                <c:pt idx="6">
                  <c:v>13842.395757806549</c:v>
                </c:pt>
                <c:pt idx="7">
                  <c:v>14707.430782316967</c:v>
                </c:pt>
                <c:pt idx="8">
                  <c:v>14329.714376190825</c:v>
                </c:pt>
                <c:pt idx="9">
                  <c:v>16174.749428070329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3C-40DA-9D5F-13AFECF8D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0067151"/>
        <c:axId val="1781272143"/>
      </c:barChart>
      <c:catAx>
        <c:axId val="17900671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81272143"/>
        <c:crosses val="autoZero"/>
        <c:auto val="1"/>
        <c:lblAlgn val="ctr"/>
        <c:lblOffset val="100"/>
        <c:noMultiLvlLbl val="0"/>
      </c:catAx>
      <c:valAx>
        <c:axId val="178127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90067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1523"/>
    </a:solidFill>
    <a:ln w="9525" cap="flat" cmpd="sng" algn="ctr">
      <a:solidFill>
        <a:srgbClr val="00152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10</a:t>
            </a:r>
            <a:r>
              <a:rPr lang="en-GB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year returns forecast (million) - Worst case scenario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Class 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'Forecast Values'!$A$3:$A$12</c:f>
              <c:strCache>
                <c:ptCount val="10"/>
                <c:pt idx="0">
                  <c:v> Year 1 </c:v>
                </c:pt>
                <c:pt idx="1">
                  <c:v> Year 2 </c:v>
                </c:pt>
                <c:pt idx="2">
                  <c:v> Year 3 </c:v>
                </c:pt>
                <c:pt idx="3">
                  <c:v> Year 4 </c:v>
                </c:pt>
                <c:pt idx="4">
                  <c:v> Year 5 </c:v>
                </c:pt>
                <c:pt idx="5">
                  <c:v> Year 6 </c:v>
                </c:pt>
                <c:pt idx="6">
                  <c:v> Year 7 </c:v>
                </c:pt>
                <c:pt idx="7">
                  <c:v> Year 8 </c:v>
                </c:pt>
                <c:pt idx="8">
                  <c:v> Year 9 </c:v>
                </c:pt>
                <c:pt idx="9">
                  <c:v> Year 10 </c:v>
                </c:pt>
              </c:strCache>
            </c:strRef>
          </c:cat>
          <c:val>
            <c:numRef>
              <c:f>'Forecast Values'!$N$69:$N$78</c:f>
              <c:numCache>
                <c:formatCode>_-[$£-809]* #,##0.00_-;\-[$£-809]* #,##0.00_-;_-[$£-809]* "-"??_-;_-@_-</c:formatCode>
                <c:ptCount val="10"/>
                <c:pt idx="0">
                  <c:v>7410</c:v>
                </c:pt>
                <c:pt idx="1">
                  <c:v>7332.3</c:v>
                </c:pt>
                <c:pt idx="2">
                  <c:v>7266.9089999999997</c:v>
                </c:pt>
                <c:pt idx="3">
                  <c:v>7213.8854700000002</c:v>
                </c:pt>
                <c:pt idx="4">
                  <c:v>7173.3388700999994</c:v>
                </c:pt>
                <c:pt idx="5">
                  <c:v>7145.4314140830002</c:v>
                </c:pt>
                <c:pt idx="6">
                  <c:v>7130.3800898658892</c:v>
                </c:pt>
                <c:pt idx="7">
                  <c:v>7128.4589515785992</c:v>
                </c:pt>
                <c:pt idx="8">
                  <c:v>7140.0016995021524</c:v>
                </c:pt>
                <c:pt idx="9">
                  <c:v>7165.4045656697272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64-4EED-B8DF-3BF7F3C683C8}"/>
            </c:ext>
          </c:extLst>
        </c:ser>
        <c:ser>
          <c:idx val="1"/>
          <c:order val="1"/>
          <c:tx>
            <c:v>Class 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'Forecast Values'!$O$69:$O$78</c:f>
              <c:numCache>
                <c:formatCode>_-[$£-809]* #,##0.00_-;\-[$£-809]* #,##0.00_-;_-[$£-809]* "-"??_-;_-@_-</c:formatCode>
                <c:ptCount val="10"/>
                <c:pt idx="0">
                  <c:v>20540</c:v>
                </c:pt>
                <c:pt idx="1">
                  <c:v>21132.2</c:v>
                </c:pt>
                <c:pt idx="2">
                  <c:v>21780.686000000005</c:v>
                </c:pt>
                <c:pt idx="3">
                  <c:v>22489.871780000005</c:v>
                </c:pt>
                <c:pt idx="4">
                  <c:v>23264.525113400006</c:v>
                </c:pt>
                <c:pt idx="5">
                  <c:v>24109.796077562005</c:v>
                </c:pt>
                <c:pt idx="6">
                  <c:v>25031.247629306068</c:v>
                </c:pt>
                <c:pt idx="7">
                  <c:v>26034.888626534263</c:v>
                </c:pt>
                <c:pt idx="8">
                  <c:v>27127.209491671874</c:v>
                </c:pt>
                <c:pt idx="9">
                  <c:v>28315.220728270353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64-4EED-B8DF-3BF7F3C683C8}"/>
            </c:ext>
          </c:extLst>
        </c:ser>
        <c:ser>
          <c:idx val="2"/>
          <c:order val="2"/>
          <c:tx>
            <c:v>Class 3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'Forecast Values'!$P$69:$P$78</c:f>
              <c:numCache>
                <c:formatCode>_-[$£-809]* #,##0.00_-;\-[$£-809]* #,##0.00_-;_-[$£-809]* "-"??_-;_-@_-</c:formatCode>
                <c:ptCount val="10"/>
                <c:pt idx="0">
                  <c:v>10271.40625</c:v>
                </c:pt>
                <c:pt idx="1">
                  <c:v>10271.40625</c:v>
                </c:pt>
                <c:pt idx="2">
                  <c:v>10271.40625</c:v>
                </c:pt>
                <c:pt idx="3">
                  <c:v>10271.40625</c:v>
                </c:pt>
                <c:pt idx="4">
                  <c:v>10271.40625</c:v>
                </c:pt>
                <c:pt idx="5">
                  <c:v>10271.40625</c:v>
                </c:pt>
                <c:pt idx="6">
                  <c:v>10271.40625</c:v>
                </c:pt>
                <c:pt idx="7">
                  <c:v>10271.40625</c:v>
                </c:pt>
                <c:pt idx="8">
                  <c:v>10271.40625</c:v>
                </c:pt>
                <c:pt idx="9">
                  <c:v>10271.40625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64-4EED-B8DF-3BF7F3C683C8}"/>
            </c:ext>
          </c:extLst>
        </c:ser>
        <c:ser>
          <c:idx val="3"/>
          <c:order val="3"/>
          <c:tx>
            <c:v>Bank class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'Forecast Values'!$Q$69:$Q$78</c:f>
              <c:numCache>
                <c:formatCode>_-[$£-809]* #,##0.00_-;\-[$£-809]* #,##0.00_-;_-[$£-809]* "-"??_-;_-@_-</c:formatCode>
                <c:ptCount val="10"/>
                <c:pt idx="0">
                  <c:v>10525</c:v>
                </c:pt>
                <c:pt idx="1">
                  <c:v>11209.125</c:v>
                </c:pt>
                <c:pt idx="2">
                  <c:v>12049.809375000001</c:v>
                </c:pt>
                <c:pt idx="3">
                  <c:v>12161.25249510558</c:v>
                </c:pt>
                <c:pt idx="4">
                  <c:v>12315.800399209022</c:v>
                </c:pt>
                <c:pt idx="5">
                  <c:v>13191.058906372496</c:v>
                </c:pt>
                <c:pt idx="6">
                  <c:v>13842.395757806549</c:v>
                </c:pt>
                <c:pt idx="7">
                  <c:v>14707.430782316967</c:v>
                </c:pt>
                <c:pt idx="8">
                  <c:v>14329.714376190825</c:v>
                </c:pt>
                <c:pt idx="9">
                  <c:v>16174.749428070329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64-4EED-B8DF-3BF7F3C68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0067151"/>
        <c:axId val="1781272143"/>
      </c:barChart>
      <c:catAx>
        <c:axId val="17900671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81272143"/>
        <c:crosses val="autoZero"/>
        <c:auto val="1"/>
        <c:lblAlgn val="ctr"/>
        <c:lblOffset val="100"/>
        <c:noMultiLvlLbl val="0"/>
      </c:catAx>
      <c:valAx>
        <c:axId val="178127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90067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1523"/>
    </a:solidFill>
    <a:ln w="9525" cap="flat" cmpd="sng" algn="ctr">
      <a:solidFill>
        <a:srgbClr val="00152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10</a:t>
            </a:r>
            <a:r>
              <a:rPr lang="en-GB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year returns forecast (million)</a:t>
            </a:r>
            <a:endParaRPr lang="en-GB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Class 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'Forecast Values'!$A$3:$A$12</c:f>
              <c:strCache>
                <c:ptCount val="10"/>
                <c:pt idx="0">
                  <c:v> Year 1 </c:v>
                </c:pt>
                <c:pt idx="1">
                  <c:v> Year 2 </c:v>
                </c:pt>
                <c:pt idx="2">
                  <c:v> Year 3 </c:v>
                </c:pt>
                <c:pt idx="3">
                  <c:v> Year 4 </c:v>
                </c:pt>
                <c:pt idx="4">
                  <c:v> Year 5 </c:v>
                </c:pt>
                <c:pt idx="5">
                  <c:v> Year 6 </c:v>
                </c:pt>
                <c:pt idx="6">
                  <c:v> Year 7 </c:v>
                </c:pt>
                <c:pt idx="7">
                  <c:v> Year 8 </c:v>
                </c:pt>
                <c:pt idx="8">
                  <c:v> Year 9 </c:v>
                </c:pt>
                <c:pt idx="9">
                  <c:v> Year 10 </c:v>
                </c:pt>
              </c:strCache>
            </c:strRef>
          </c:cat>
          <c:val>
            <c:numRef>
              <c:f>'Forecast Values'!$B$56:$B$65</c:f>
              <c:numCache>
                <c:formatCode>_-[$£-809]* #,##0.00_-;\-[$£-809]* #,##0.00_-;_-[$£-809]* "-"??_-;_-@_-</c:formatCode>
                <c:ptCount val="10"/>
                <c:pt idx="0">
                  <c:v>7875</c:v>
                </c:pt>
                <c:pt idx="1">
                  <c:v>8268.75</c:v>
                </c:pt>
                <c:pt idx="2">
                  <c:v>8682.1875000000018</c:v>
                </c:pt>
                <c:pt idx="3">
                  <c:v>9116.2968750000018</c:v>
                </c:pt>
                <c:pt idx="4">
                  <c:v>9572.111718750004</c:v>
                </c:pt>
                <c:pt idx="5">
                  <c:v>10050.717304687503</c:v>
                </c:pt>
                <c:pt idx="6">
                  <c:v>10553.253169921878</c:v>
                </c:pt>
                <c:pt idx="7">
                  <c:v>11080.915828417972</c:v>
                </c:pt>
                <c:pt idx="8">
                  <c:v>11634.96161983887</c:v>
                </c:pt>
                <c:pt idx="9">
                  <c:v>12216.709700830814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D-4F79-9C5B-B1BC04AC23B9}"/>
            </c:ext>
          </c:extLst>
        </c:ser>
        <c:ser>
          <c:idx val="1"/>
          <c:order val="1"/>
          <c:tx>
            <c:v>Class 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'Forecast Values'!$C$56:$C$65</c:f>
              <c:numCache>
                <c:formatCode>_-[$£-809]* #,##0.00_-;\-[$£-809]* #,##0.00_-;_-[$£-809]* "-"??_-;_-@_-</c:formatCode>
                <c:ptCount val="10"/>
                <c:pt idx="0">
                  <c:v>21000</c:v>
                </c:pt>
                <c:pt idx="1">
                  <c:v>22050</c:v>
                </c:pt>
                <c:pt idx="2">
                  <c:v>23152.500000000004</c:v>
                </c:pt>
                <c:pt idx="3">
                  <c:v>24310.125000000007</c:v>
                </c:pt>
                <c:pt idx="4">
                  <c:v>25525.631250000006</c:v>
                </c:pt>
                <c:pt idx="5">
                  <c:v>26801.912812500006</c:v>
                </c:pt>
                <c:pt idx="6">
                  <c:v>28142.00845312501</c:v>
                </c:pt>
                <c:pt idx="7">
                  <c:v>29549.108875781265</c:v>
                </c:pt>
                <c:pt idx="8">
                  <c:v>31026.564319570323</c:v>
                </c:pt>
                <c:pt idx="9">
                  <c:v>32577.892535548843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7D-4F79-9C5B-B1BC04AC23B9}"/>
            </c:ext>
          </c:extLst>
        </c:ser>
        <c:ser>
          <c:idx val="2"/>
          <c:order val="2"/>
          <c:tx>
            <c:v>Class 3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'Forecast Values'!$D$56:$D$65</c:f>
              <c:numCache>
                <c:formatCode>_-[$£-809]* #,##0.00_-;\-[$£-809]* #,##0.00_-;_-[$£-809]* "-"??_-;_-@_-</c:formatCode>
                <c:ptCount val="10"/>
                <c:pt idx="0">
                  <c:v>13125</c:v>
                </c:pt>
                <c:pt idx="1">
                  <c:v>13781.25</c:v>
                </c:pt>
                <c:pt idx="2">
                  <c:v>14470.312500000004</c:v>
                </c:pt>
                <c:pt idx="3">
                  <c:v>15193.828125000004</c:v>
                </c:pt>
                <c:pt idx="4">
                  <c:v>15953.519531250005</c:v>
                </c:pt>
                <c:pt idx="5">
                  <c:v>16751.195507812507</c:v>
                </c:pt>
                <c:pt idx="6">
                  <c:v>17588.755283203132</c:v>
                </c:pt>
                <c:pt idx="7">
                  <c:v>18468.193047363289</c:v>
                </c:pt>
                <c:pt idx="8">
                  <c:v>19391.602699731451</c:v>
                </c:pt>
                <c:pt idx="9">
                  <c:v>20361.182834718024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7D-4F79-9C5B-B1BC04AC23B9}"/>
            </c:ext>
          </c:extLst>
        </c:ser>
        <c:ser>
          <c:idx val="3"/>
          <c:order val="3"/>
          <c:tx>
            <c:v>Bank class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'Forecast Values'!$E$56:$E$65</c:f>
              <c:numCache>
                <c:formatCode>_-[$£-809]* #,##0.00_-;\-[$£-809]* #,##0.00_-;_-[$£-809]* "-"??_-;_-@_-</c:formatCode>
                <c:ptCount val="10"/>
                <c:pt idx="0">
                  <c:v>10500</c:v>
                </c:pt>
                <c:pt idx="1">
                  <c:v>11025</c:v>
                </c:pt>
                <c:pt idx="2">
                  <c:v>11576.25</c:v>
                </c:pt>
                <c:pt idx="3">
                  <c:v>11810.105498823748</c:v>
                </c:pt>
                <c:pt idx="4">
                  <c:v>11859.322106786527</c:v>
                </c:pt>
                <c:pt idx="5">
                  <c:v>12826.190396156389</c:v>
                </c:pt>
                <c:pt idx="6">
                  <c:v>13198.153004780743</c:v>
                </c:pt>
                <c:pt idx="7">
                  <c:v>13508.350438767811</c:v>
                </c:pt>
                <c:pt idx="8">
                  <c:v>14514.453698632695</c:v>
                </c:pt>
                <c:pt idx="9">
                  <c:v>15423.280484185982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7D-4F79-9C5B-B1BC04AC2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0067151"/>
        <c:axId val="1781272143"/>
      </c:barChart>
      <c:catAx>
        <c:axId val="17900671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81272143"/>
        <c:crosses val="autoZero"/>
        <c:auto val="1"/>
        <c:lblAlgn val="ctr"/>
        <c:lblOffset val="100"/>
        <c:noMultiLvlLbl val="0"/>
      </c:catAx>
      <c:valAx>
        <c:axId val="178127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90067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1523"/>
    </a:solidFill>
    <a:ln w="9525" cap="flat" cmpd="sng" algn="ctr">
      <a:solidFill>
        <a:srgbClr val="00152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10</a:t>
            </a:r>
            <a:r>
              <a:rPr lang="en-GB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year returns forecast (million) - Worst case scenario</a:t>
            </a:r>
          </a:p>
          <a:p>
            <a:pPr>
              <a:defRPr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GB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0711294986431781"/>
          <c:y val="5.31561461794019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159393211441791"/>
          <c:y val="0.2753024476591589"/>
          <c:w val="0.78354731082343521"/>
          <c:h val="0.5365247948657581"/>
        </c:manualLayout>
      </c:layout>
      <c:barChart>
        <c:barDir val="col"/>
        <c:grouping val="clustered"/>
        <c:varyColors val="0"/>
        <c:ser>
          <c:idx val="0"/>
          <c:order val="0"/>
          <c:tx>
            <c:v>Class 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'Forecast Values'!$A$3:$A$12</c:f>
              <c:strCache>
                <c:ptCount val="10"/>
                <c:pt idx="0">
                  <c:v> Year 1 </c:v>
                </c:pt>
                <c:pt idx="1">
                  <c:v> Year 2 </c:v>
                </c:pt>
                <c:pt idx="2">
                  <c:v> Year 3 </c:v>
                </c:pt>
                <c:pt idx="3">
                  <c:v> Year 4 </c:v>
                </c:pt>
                <c:pt idx="4">
                  <c:v> Year 5 </c:v>
                </c:pt>
                <c:pt idx="5">
                  <c:v> Year 6 </c:v>
                </c:pt>
                <c:pt idx="6">
                  <c:v> Year 7 </c:v>
                </c:pt>
                <c:pt idx="7">
                  <c:v> Year 8 </c:v>
                </c:pt>
                <c:pt idx="8">
                  <c:v> Year 9 </c:v>
                </c:pt>
                <c:pt idx="9">
                  <c:v> Year 10 </c:v>
                </c:pt>
              </c:strCache>
            </c:strRef>
          </c:cat>
          <c:val>
            <c:numRef>
              <c:f>'Forecast Values'!$N$56:$N$65</c:f>
              <c:numCache>
                <c:formatCode>_-[$£-809]* #,##0.00_-;\-[$£-809]* #,##0.00_-;_-[$£-809]* "-"??_-;_-@_-</c:formatCode>
                <c:ptCount val="10"/>
                <c:pt idx="0">
                  <c:v>7410</c:v>
                </c:pt>
                <c:pt idx="1">
                  <c:v>7332.3</c:v>
                </c:pt>
                <c:pt idx="2">
                  <c:v>7266.9089999999997</c:v>
                </c:pt>
                <c:pt idx="3">
                  <c:v>7213.8854700000002</c:v>
                </c:pt>
                <c:pt idx="4">
                  <c:v>7173.3388700999994</c:v>
                </c:pt>
                <c:pt idx="5">
                  <c:v>7145.4314140830002</c:v>
                </c:pt>
                <c:pt idx="6">
                  <c:v>7130.3800898658892</c:v>
                </c:pt>
                <c:pt idx="7">
                  <c:v>7128.4589515785992</c:v>
                </c:pt>
                <c:pt idx="8">
                  <c:v>7140.0016995021524</c:v>
                </c:pt>
                <c:pt idx="9">
                  <c:v>7165.4045656697272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4-46EC-984E-6C6AD258C473}"/>
            </c:ext>
          </c:extLst>
        </c:ser>
        <c:ser>
          <c:idx val="1"/>
          <c:order val="1"/>
          <c:tx>
            <c:v>Class 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'Forecast Values'!$O$56:$O$65</c:f>
              <c:numCache>
                <c:formatCode>_-[$£-809]* #,##0.00_-;\-[$£-809]* #,##0.00_-;_-[$£-809]* "-"??_-;_-@_-</c:formatCode>
                <c:ptCount val="10"/>
                <c:pt idx="0">
                  <c:v>20540</c:v>
                </c:pt>
                <c:pt idx="1">
                  <c:v>21132.2</c:v>
                </c:pt>
                <c:pt idx="2">
                  <c:v>21780.686000000005</c:v>
                </c:pt>
                <c:pt idx="3">
                  <c:v>22489.871780000005</c:v>
                </c:pt>
                <c:pt idx="4">
                  <c:v>23264.525113400006</c:v>
                </c:pt>
                <c:pt idx="5">
                  <c:v>24109.796077562005</c:v>
                </c:pt>
                <c:pt idx="6">
                  <c:v>25031.247629306068</c:v>
                </c:pt>
                <c:pt idx="7">
                  <c:v>26034.888626534263</c:v>
                </c:pt>
                <c:pt idx="8">
                  <c:v>27127.209491671874</c:v>
                </c:pt>
                <c:pt idx="9">
                  <c:v>28315.220728270353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E4-46EC-984E-6C6AD258C473}"/>
            </c:ext>
          </c:extLst>
        </c:ser>
        <c:ser>
          <c:idx val="2"/>
          <c:order val="2"/>
          <c:tx>
            <c:v>Class 3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'Forecast Values'!$P$56:$P$65</c:f>
              <c:numCache>
                <c:formatCode>_-[$£-809]* #,##0.00_-;\-[$£-809]* #,##0.00_-;_-[$£-809]* "-"??_-;_-@_-</c:formatCode>
                <c:ptCount val="10"/>
                <c:pt idx="0">
                  <c:v>10271.40625</c:v>
                </c:pt>
                <c:pt idx="1">
                  <c:v>10271.40625</c:v>
                </c:pt>
                <c:pt idx="2">
                  <c:v>10271.40625</c:v>
                </c:pt>
                <c:pt idx="3">
                  <c:v>10271.40625</c:v>
                </c:pt>
                <c:pt idx="4">
                  <c:v>10271.40625</c:v>
                </c:pt>
                <c:pt idx="5">
                  <c:v>10271.40625</c:v>
                </c:pt>
                <c:pt idx="6">
                  <c:v>10271.40625</c:v>
                </c:pt>
                <c:pt idx="7">
                  <c:v>10271.40625</c:v>
                </c:pt>
                <c:pt idx="8">
                  <c:v>10271.40625</c:v>
                </c:pt>
                <c:pt idx="9">
                  <c:v>10271.40625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E4-46EC-984E-6C6AD258C473}"/>
            </c:ext>
          </c:extLst>
        </c:ser>
        <c:ser>
          <c:idx val="3"/>
          <c:order val="3"/>
          <c:tx>
            <c:v>Bank class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'Forecast Values'!$Q$56:$Q$65</c:f>
              <c:numCache>
                <c:formatCode>_-[$£-809]* #,##0.00_-;\-[$£-809]* #,##0.00_-;_-[$£-809]* "-"??_-;_-@_-</c:formatCode>
                <c:ptCount val="10"/>
                <c:pt idx="0">
                  <c:v>10500</c:v>
                </c:pt>
                <c:pt idx="1">
                  <c:v>11025</c:v>
                </c:pt>
                <c:pt idx="2">
                  <c:v>11576.25</c:v>
                </c:pt>
                <c:pt idx="3">
                  <c:v>11810.105498823748</c:v>
                </c:pt>
                <c:pt idx="4">
                  <c:v>11859.322106786527</c:v>
                </c:pt>
                <c:pt idx="5">
                  <c:v>12826.190396156389</c:v>
                </c:pt>
                <c:pt idx="6">
                  <c:v>13198.153004780743</c:v>
                </c:pt>
                <c:pt idx="7">
                  <c:v>13508.350438767811</c:v>
                </c:pt>
                <c:pt idx="8">
                  <c:v>14514.453698632695</c:v>
                </c:pt>
                <c:pt idx="9">
                  <c:v>15423.280484185982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E4-46EC-984E-6C6AD258C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0067151"/>
        <c:axId val="1781272143"/>
      </c:barChart>
      <c:catAx>
        <c:axId val="17900671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81272143"/>
        <c:crosses val="autoZero"/>
        <c:auto val="1"/>
        <c:lblAlgn val="ctr"/>
        <c:lblOffset val="100"/>
        <c:noMultiLvlLbl val="0"/>
      </c:catAx>
      <c:valAx>
        <c:axId val="178127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90067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341616619956406"/>
          <c:y val="0.15149501661129569"/>
          <c:w val="0.46028613372480981"/>
          <c:h val="7.06512848684612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1523"/>
    </a:solidFill>
    <a:ln w="9525" cap="flat" cmpd="sng" algn="ctr">
      <a:solidFill>
        <a:srgbClr val="00152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10</a:t>
            </a:r>
            <a:r>
              <a:rPr lang="en-GB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year returns forecast (million) - Best case scenario</a:t>
            </a:r>
            <a:endParaRPr lang="en-GB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Class 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'Forecast Values'!$A$3:$A$12</c:f>
              <c:strCache>
                <c:ptCount val="10"/>
                <c:pt idx="0">
                  <c:v> Year 1 </c:v>
                </c:pt>
                <c:pt idx="1">
                  <c:v> Year 2 </c:v>
                </c:pt>
                <c:pt idx="2">
                  <c:v> Year 3 </c:v>
                </c:pt>
                <c:pt idx="3">
                  <c:v> Year 4 </c:v>
                </c:pt>
                <c:pt idx="4">
                  <c:v> Year 5 </c:v>
                </c:pt>
                <c:pt idx="5">
                  <c:v> Year 6 </c:v>
                </c:pt>
                <c:pt idx="6">
                  <c:v> Year 7 </c:v>
                </c:pt>
                <c:pt idx="7">
                  <c:v> Year 8 </c:v>
                </c:pt>
                <c:pt idx="8">
                  <c:v> Year 9 </c:v>
                </c:pt>
                <c:pt idx="9">
                  <c:v> Year 10 </c:v>
                </c:pt>
              </c:strCache>
            </c:strRef>
          </c:cat>
          <c:val>
            <c:numRef>
              <c:f>'Forecast Values'!$H$56:$H$65</c:f>
              <c:numCache>
                <c:formatCode>_-[$£-809]* #,##0.00_-;\-[$£-809]* #,##0.00_-;_-[$£-809]* "-"??_-;_-@_-</c:formatCode>
                <c:ptCount val="10"/>
                <c:pt idx="0">
                  <c:v>8002.5000000000009</c:v>
                </c:pt>
                <c:pt idx="1">
                  <c:v>8548.5750000000007</c:v>
                </c:pt>
                <c:pt idx="2">
                  <c:v>9142.7572500000006</c:v>
                </c:pt>
                <c:pt idx="3">
                  <c:v>9790.1147175000024</c:v>
                </c:pt>
                <c:pt idx="4">
                  <c:v>10496.320401525001</c:v>
                </c:pt>
                <c:pt idx="5">
                  <c:v>11267.731174845752</c:v>
                </c:pt>
                <c:pt idx="6">
                  <c:v>12111.477514549375</c:v>
                </c:pt>
                <c:pt idx="7">
                  <c:v>13035.565679624204</c:v>
                </c:pt>
                <c:pt idx="8">
                  <c:v>14048.9941220693</c:v>
                </c:pt>
                <c:pt idx="9">
                  <c:v>15161.886179586252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EC-4303-9BCC-D930C05F1123}"/>
            </c:ext>
          </c:extLst>
        </c:ser>
        <c:ser>
          <c:idx val="1"/>
          <c:order val="1"/>
          <c:tx>
            <c:v>Class 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'Forecast Values'!$I$56:$I$65</c:f>
              <c:numCache>
                <c:formatCode>_-[$£-809]* #,##0.00_-;\-[$£-809]* #,##0.00_-;_-[$£-809]* "-"??_-;_-@_-</c:formatCode>
                <c:ptCount val="10"/>
                <c:pt idx="0">
                  <c:v>22160</c:v>
                </c:pt>
                <c:pt idx="1">
                  <c:v>24576.799999999999</c:v>
                </c:pt>
                <c:pt idx="2">
                  <c:v>27283.544000000002</c:v>
                </c:pt>
                <c:pt idx="3">
                  <c:v>30317.917519999999</c:v>
                </c:pt>
                <c:pt idx="4">
                  <c:v>33722.794421600003</c:v>
                </c:pt>
                <c:pt idx="5">
                  <c:v>37546.978000328003</c:v>
                </c:pt>
                <c:pt idx="6">
                  <c:v>41846.050269104242</c:v>
                </c:pt>
                <c:pt idx="7">
                  <c:v>46683.345423695078</c:v>
                </c:pt>
                <c:pt idx="8">
                  <c:v>52131.065860612558</c:v>
                </c:pt>
                <c:pt idx="9">
                  <c:v>58271.561852936713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EC-4303-9BCC-D930C05F1123}"/>
            </c:ext>
          </c:extLst>
        </c:ser>
        <c:ser>
          <c:idx val="2"/>
          <c:order val="2"/>
          <c:tx>
            <c:v>Class 3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'Forecast Values'!$J$56:$J$65</c:f>
              <c:numCache>
                <c:formatCode>_-[$£-809]* #,##0.00_-;\-[$£-809]* #,##0.00_-;_-[$£-809]* "-"??_-;_-@_-</c:formatCode>
                <c:ptCount val="10"/>
                <c:pt idx="0">
                  <c:v>13200</c:v>
                </c:pt>
                <c:pt idx="1">
                  <c:v>13941</c:v>
                </c:pt>
                <c:pt idx="2">
                  <c:v>14725.530000000002</c:v>
                </c:pt>
                <c:pt idx="3">
                  <c:v>15556.284900000004</c:v>
                </c:pt>
                <c:pt idx="4">
                  <c:v>16436.135817000006</c:v>
                </c:pt>
                <c:pt idx="5">
                  <c:v>17368.142213610005</c:v>
                </c:pt>
                <c:pt idx="6">
                  <c:v>18355.564898511308</c:v>
                </c:pt>
                <c:pt idx="7">
                  <c:v>19401.879963595336</c:v>
                </c:pt>
                <c:pt idx="8">
                  <c:v>20510.793727546246</c:v>
                </c:pt>
                <c:pt idx="9">
                  <c:v>21686.258760956389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EC-4303-9BCC-D930C05F1123}"/>
            </c:ext>
          </c:extLst>
        </c:ser>
        <c:ser>
          <c:idx val="3"/>
          <c:order val="3"/>
          <c:tx>
            <c:v>Bank class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'Forecast Values'!$K$56:$K$65</c:f>
              <c:numCache>
                <c:formatCode>_-[$£-809]* #,##0.00_-;\-[$£-809]* #,##0.00_-;_-[$£-809]* "-"??_-;_-@_-</c:formatCode>
                <c:ptCount val="10"/>
                <c:pt idx="0">
                  <c:v>10500</c:v>
                </c:pt>
                <c:pt idx="1">
                  <c:v>11025</c:v>
                </c:pt>
                <c:pt idx="2">
                  <c:v>11576.25</c:v>
                </c:pt>
                <c:pt idx="3">
                  <c:v>11810.105498823748</c:v>
                </c:pt>
                <c:pt idx="4">
                  <c:v>11859.322106786527</c:v>
                </c:pt>
                <c:pt idx="5">
                  <c:v>12826.190396156389</c:v>
                </c:pt>
                <c:pt idx="6">
                  <c:v>13198.153004780743</c:v>
                </c:pt>
                <c:pt idx="7">
                  <c:v>13508.350438767811</c:v>
                </c:pt>
                <c:pt idx="8">
                  <c:v>14514.453698632695</c:v>
                </c:pt>
                <c:pt idx="9">
                  <c:v>15423.280484185982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EC-4303-9BCC-D930C05F1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0067151"/>
        <c:axId val="1781272143"/>
      </c:barChart>
      <c:catAx>
        <c:axId val="17900671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81272143"/>
        <c:crosses val="autoZero"/>
        <c:auto val="1"/>
        <c:lblAlgn val="ctr"/>
        <c:lblOffset val="100"/>
        <c:noMultiLvlLbl val="0"/>
      </c:catAx>
      <c:valAx>
        <c:axId val="178127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90067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1523"/>
    </a:solidFill>
    <a:ln w="9525" cap="flat" cmpd="sng" algn="ctr">
      <a:solidFill>
        <a:srgbClr val="00152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990600</xdr:colOff>
      <xdr:row>6</xdr:row>
      <xdr:rowOff>142875</xdr:rowOff>
    </xdr:from>
    <xdr:to>
      <xdr:col>3</xdr:col>
      <xdr:colOff>971551</xdr:colOff>
      <xdr:row>12</xdr:row>
      <xdr:rowOff>76200</xdr:rowOff>
    </xdr:to>
    <xdr:pic macro="[0]!Initialize">
      <xdr:nvPicPr>
        <xdr:cNvPr id="3" name="Graphic 2" descr="Calculator with solid fill">
          <a:extLst>
            <a:ext uri="{FF2B5EF4-FFF2-40B4-BE49-F238E27FC236}">
              <a16:creationId xmlns:a16="http://schemas.microsoft.com/office/drawing/2014/main" id="{86AD1241-B50A-BAC6-FCB3-12C49FD4F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43125" y="1447800"/>
          <a:ext cx="1628776" cy="1314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209550</xdr:rowOff>
    </xdr:from>
    <xdr:to>
      <xdr:col>1</xdr:col>
      <xdr:colOff>152401</xdr:colOff>
      <xdr:row>18</xdr:row>
      <xdr:rowOff>142875</xdr:rowOff>
    </xdr:to>
    <xdr:pic macro="[0]!UserManual">
      <xdr:nvPicPr>
        <xdr:cNvPr id="4" name="Graphic 3" descr="Closed book with solid fill">
          <a:extLst>
            <a:ext uri="{FF2B5EF4-FFF2-40B4-BE49-F238E27FC236}">
              <a16:creationId xmlns:a16="http://schemas.microsoft.com/office/drawing/2014/main" id="{65907928-7F5F-E966-AC20-FF35C90DC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3133725"/>
          <a:ext cx="1304926" cy="12477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190499</xdr:colOff>
      <xdr:row>0</xdr:row>
      <xdr:rowOff>57150</xdr:rowOff>
    </xdr:from>
    <xdr:to>
      <xdr:col>14</xdr:col>
      <xdr:colOff>380999</xdr:colOff>
      <xdr:row>14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D39DE8-ACA7-4A94-9ECB-7C8F573E7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38099</xdr:colOff>
      <xdr:row>18</xdr:row>
      <xdr:rowOff>171450</xdr:rowOff>
    </xdr:from>
    <xdr:to>
      <xdr:col>8</xdr:col>
      <xdr:colOff>1466849</xdr:colOff>
      <xdr:row>33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B21502A-D230-4912-98DF-FC51790D2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1323975</xdr:colOff>
      <xdr:row>18</xdr:row>
      <xdr:rowOff>123825</xdr:rowOff>
    </xdr:from>
    <xdr:to>
      <xdr:col>16</xdr:col>
      <xdr:colOff>152400</xdr:colOff>
      <xdr:row>33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FAB7484-3B4F-4267-8CC8-4FC1D4CCAB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76199</xdr:colOff>
      <xdr:row>24</xdr:row>
      <xdr:rowOff>76200</xdr:rowOff>
    </xdr:from>
    <xdr:to>
      <xdr:col>9</xdr:col>
      <xdr:colOff>704849</xdr:colOff>
      <xdr:row>38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280723-144C-4159-81C5-DC31CCC54D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104775</xdr:colOff>
      <xdr:row>37</xdr:row>
      <xdr:rowOff>180975</xdr:rowOff>
    </xdr:from>
    <xdr:to>
      <xdr:col>9</xdr:col>
      <xdr:colOff>800100</xdr:colOff>
      <xdr:row>52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5BA4CF-5F15-4C5B-86AC-C3D0BA69F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752474</xdr:colOff>
      <xdr:row>24</xdr:row>
      <xdr:rowOff>152400</xdr:rowOff>
    </xdr:from>
    <xdr:to>
      <xdr:col>16</xdr:col>
      <xdr:colOff>542924</xdr:colOff>
      <xdr:row>39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EE0221D-17F5-45E7-96EB-91355EC07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672EA-D2D2-4243-8B4E-E8BD85AEA1CE}">
  <sheetPr codeName="Sheet1"/>
  <dimension ref="A1:J26"/>
  <sheetViews>
    <sheetView zoomScaleNormal="100" workbookViewId="0">
      <selection activeCell="A18" sqref="A18:E18"/>
    </sheetView>
  </sheetViews>
  <sheetFormatPr defaultColWidth="7.109375" defaultRowHeight="15" x14ac:dyDescent="0.2"/>
  <cols>
    <col min="1" max="1" width="13.44140625" style="2" bestFit="1" customWidth="1"/>
    <col min="2" max="2" width="12.109375" style="2" bestFit="1" customWidth="1"/>
    <col min="3" max="3" width="7.109375" style="2"/>
    <col min="4" max="4" width="16.77734375" style="2" bestFit="1" customWidth="1"/>
    <col min="5" max="5" width="15" style="2" bestFit="1" customWidth="1"/>
    <col min="6" max="6" width="14.109375" style="2" bestFit="1" customWidth="1"/>
    <col min="7" max="16384" width="7.109375" style="2"/>
  </cols>
  <sheetData>
    <row r="1" spans="1:10" ht="15" customHeight="1" x14ac:dyDescent="0.2">
      <c r="A1" s="48" t="s">
        <v>0</v>
      </c>
      <c r="B1" s="48"/>
      <c r="C1" s="48"/>
      <c r="D1" s="48"/>
      <c r="E1" s="48"/>
      <c r="F1" s="1"/>
      <c r="G1" s="1"/>
      <c r="H1" s="1"/>
    </row>
    <row r="2" spans="1:10" ht="15" customHeight="1" x14ac:dyDescent="0.2">
      <c r="A2" s="48"/>
      <c r="B2" s="48"/>
      <c r="C2" s="48"/>
      <c r="D2" s="48"/>
      <c r="E2" s="48"/>
      <c r="F2" s="1"/>
      <c r="G2" s="1"/>
      <c r="H2" s="1"/>
    </row>
    <row r="3" spans="1:10" ht="15" customHeight="1" x14ac:dyDescent="0.2">
      <c r="A3" s="48"/>
      <c r="B3" s="48"/>
      <c r="C3" s="48"/>
      <c r="D3" s="48"/>
      <c r="E3" s="48"/>
      <c r="F3" s="1"/>
    </row>
    <row r="4" spans="1:10" ht="20.25" x14ac:dyDescent="0.3">
      <c r="A4" s="51" t="s">
        <v>62</v>
      </c>
      <c r="B4" s="51"/>
    </row>
    <row r="5" spans="1:10" ht="18.75" x14ac:dyDescent="0.3">
      <c r="A5" s="52" t="s">
        <v>61</v>
      </c>
      <c r="B5" s="52"/>
      <c r="C5" s="52"/>
      <c r="D5" s="52"/>
      <c r="E5" s="52"/>
      <c r="F5" s="52"/>
      <c r="G5" s="3"/>
      <c r="H5" s="3"/>
    </row>
    <row r="6" spans="1:10" ht="18.75" x14ac:dyDescent="0.3">
      <c r="A6" s="52" t="s">
        <v>7</v>
      </c>
      <c r="B6" s="52"/>
      <c r="C6" s="52"/>
      <c r="D6" s="52"/>
      <c r="E6" s="52"/>
      <c r="F6" s="52"/>
      <c r="G6" s="3"/>
      <c r="H6" s="3"/>
    </row>
    <row r="7" spans="1:10" ht="18.75" x14ac:dyDescent="0.3">
      <c r="A7" s="29"/>
      <c r="B7" s="29"/>
      <c r="C7" s="29"/>
      <c r="D7" s="29"/>
      <c r="E7" s="29"/>
      <c r="F7" s="29"/>
      <c r="G7" s="3"/>
      <c r="H7" s="3"/>
    </row>
    <row r="8" spans="1:10" ht="18.75" customHeight="1" x14ac:dyDescent="0.3">
      <c r="A8" s="4" t="s">
        <v>1</v>
      </c>
      <c r="B8" s="8" t="s">
        <v>2</v>
      </c>
      <c r="G8" s="3"/>
      <c r="H8" s="3"/>
    </row>
    <row r="9" spans="1:10" ht="18.75" x14ac:dyDescent="0.3">
      <c r="A9" s="5" t="s">
        <v>3</v>
      </c>
      <c r="B9" s="19">
        <v>15</v>
      </c>
      <c r="C9" s="29"/>
      <c r="D9" s="29"/>
      <c r="E9" s="29"/>
      <c r="F9" s="29"/>
      <c r="G9" s="3"/>
      <c r="H9" s="3"/>
    </row>
    <row r="10" spans="1:10" x14ac:dyDescent="0.2">
      <c r="A10" s="4" t="s">
        <v>4</v>
      </c>
      <c r="B10" s="20">
        <v>40</v>
      </c>
    </row>
    <row r="11" spans="1:10" ht="18.75" customHeight="1" x14ac:dyDescent="0.2">
      <c r="A11" s="4" t="s">
        <v>5</v>
      </c>
      <c r="B11" s="20">
        <v>25</v>
      </c>
      <c r="C11" s="12"/>
      <c r="D11" s="12"/>
      <c r="E11" s="12"/>
      <c r="F11" s="12"/>
    </row>
    <row r="12" spans="1:10" ht="18.75" customHeight="1" x14ac:dyDescent="0.2">
      <c r="A12" s="6" t="s">
        <v>6</v>
      </c>
      <c r="B12" s="20">
        <v>20</v>
      </c>
      <c r="C12" s="10"/>
      <c r="D12" s="12"/>
      <c r="E12" s="9"/>
      <c r="F12" s="9"/>
    </row>
    <row r="13" spans="1:10" ht="18.75" customHeight="1" x14ac:dyDescent="0.2">
      <c r="C13" s="10"/>
      <c r="D13" s="12"/>
      <c r="E13" s="9"/>
      <c r="F13" s="9"/>
    </row>
    <row r="14" spans="1:10" ht="18.75" customHeight="1" x14ac:dyDescent="0.3">
      <c r="A14" s="46" t="s">
        <v>60</v>
      </c>
      <c r="C14" s="10"/>
      <c r="D14" s="12"/>
      <c r="E14" s="9"/>
      <c r="F14" s="9"/>
    </row>
    <row r="15" spans="1:10" ht="18.75" customHeight="1" x14ac:dyDescent="0.2">
      <c r="C15" s="10"/>
      <c r="D15" s="12"/>
      <c r="E15" s="13"/>
      <c r="F15" s="13"/>
    </row>
    <row r="16" spans="1:10" x14ac:dyDescent="0.2">
      <c r="D16" s="12"/>
      <c r="E16" s="9"/>
      <c r="F16" s="9"/>
      <c r="J16" s="9"/>
    </row>
    <row r="17" spans="1:10" ht="18" x14ac:dyDescent="0.25">
      <c r="B17" s="7"/>
      <c r="C17" s="7"/>
      <c r="D17" s="7"/>
      <c r="J17" s="9"/>
    </row>
    <row r="18" spans="1:10" ht="33" customHeight="1" x14ac:dyDescent="0.2">
      <c r="A18" s="49"/>
      <c r="B18" s="49"/>
      <c r="C18" s="49"/>
      <c r="D18" s="49"/>
      <c r="E18" s="49"/>
      <c r="J18" s="9"/>
    </row>
    <row r="19" spans="1:10" ht="49.5" customHeight="1" x14ac:dyDescent="0.2">
      <c r="A19" s="50"/>
      <c r="B19" s="50"/>
      <c r="C19" s="50"/>
      <c r="D19" s="50"/>
      <c r="E19" s="50"/>
      <c r="J19" s="9"/>
    </row>
    <row r="20" spans="1:10" x14ac:dyDescent="0.2">
      <c r="A20" s="47"/>
      <c r="B20" s="47"/>
      <c r="C20" s="47"/>
      <c r="D20" s="47"/>
      <c r="E20" s="47"/>
      <c r="J20" s="9"/>
    </row>
    <row r="21" spans="1:10" x14ac:dyDescent="0.2">
      <c r="A21" s="47"/>
      <c r="B21" s="47"/>
      <c r="C21" s="47"/>
      <c r="D21" s="47"/>
      <c r="E21" s="47"/>
      <c r="J21" s="9"/>
    </row>
    <row r="22" spans="1:10" x14ac:dyDescent="0.2">
      <c r="A22" s="47"/>
      <c r="B22" s="47"/>
      <c r="C22" s="47"/>
      <c r="D22" s="47"/>
      <c r="E22" s="47"/>
      <c r="J22" s="9"/>
    </row>
    <row r="23" spans="1:10" x14ac:dyDescent="0.2">
      <c r="J23" s="9"/>
    </row>
    <row r="24" spans="1:10" x14ac:dyDescent="0.2">
      <c r="J24" s="9"/>
    </row>
    <row r="25" spans="1:10" x14ac:dyDescent="0.2">
      <c r="F25" s="11"/>
      <c r="G25" s="11"/>
      <c r="J25" s="9"/>
    </row>
    <row r="26" spans="1:10" x14ac:dyDescent="0.2">
      <c r="J26" s="9"/>
    </row>
  </sheetData>
  <mergeCells count="9">
    <mergeCell ref="A21:E21"/>
    <mergeCell ref="A22:E22"/>
    <mergeCell ref="A1:E3"/>
    <mergeCell ref="A18:E18"/>
    <mergeCell ref="A19:E19"/>
    <mergeCell ref="A20:E20"/>
    <mergeCell ref="A4:B4"/>
    <mergeCell ref="A5:F5"/>
    <mergeCell ref="A6:F6"/>
  </mergeCells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1145-7B22-4348-ACCF-03A6E2311E6D}">
  <sheetPr codeName="Sheet2"/>
  <dimension ref="A1:I26"/>
  <sheetViews>
    <sheetView topLeftCell="B1" workbookViewId="0">
      <selection activeCell="I17" sqref="I17"/>
    </sheetView>
  </sheetViews>
  <sheetFormatPr defaultRowHeight="15" x14ac:dyDescent="0.2"/>
  <cols>
    <col min="1" max="1" width="18.109375" style="18" bestFit="1" customWidth="1"/>
    <col min="2" max="2" width="17" style="18" bestFit="1" customWidth="1"/>
    <col min="3" max="5" width="18.109375" style="18" bestFit="1" customWidth="1"/>
    <col min="6" max="6" width="8.88671875" style="2"/>
    <col min="7" max="7" width="21.5546875" style="2" bestFit="1" customWidth="1"/>
    <col min="8" max="9" width="18.109375" style="2" bestFit="1" customWidth="1"/>
    <col min="10" max="16384" width="8.88671875" style="2"/>
  </cols>
  <sheetData>
    <row r="1" spans="1:9" ht="15" customHeight="1" x14ac:dyDescent="0.2">
      <c r="A1" s="21" t="s">
        <v>12</v>
      </c>
      <c r="B1" s="21" t="s">
        <v>8</v>
      </c>
      <c r="C1" s="21" t="s">
        <v>10</v>
      </c>
      <c r="D1" s="21" t="s">
        <v>11</v>
      </c>
      <c r="E1" s="21" t="s">
        <v>9</v>
      </c>
      <c r="G1" s="22" t="s">
        <v>17</v>
      </c>
      <c r="H1" s="16">
        <v>55549555476.386322</v>
      </c>
    </row>
    <row r="2" spans="1:9" ht="15.75" x14ac:dyDescent="0.2">
      <c r="A2" s="21">
        <v>55549555476.386322</v>
      </c>
      <c r="B2" s="21">
        <v>7948385622.8255987</v>
      </c>
      <c r="C2" s="21">
        <v>24151810554.135162</v>
      </c>
      <c r="D2" s="21">
        <v>11533326024.478077</v>
      </c>
      <c r="E2" s="21">
        <v>11916033274.947475</v>
      </c>
      <c r="G2" s="22" t="s">
        <v>13</v>
      </c>
      <c r="H2" s="16">
        <v>63201640625</v>
      </c>
    </row>
    <row r="3" spans="1:9" ht="15.75" x14ac:dyDescent="0.2">
      <c r="A3" s="21">
        <v>55501128701.998199</v>
      </c>
      <c r="B3" s="21">
        <v>8411350806.8379822</v>
      </c>
      <c r="C3" s="21">
        <v>23566032363.599674</v>
      </c>
      <c r="D3" s="21">
        <v>11660515038.064699</v>
      </c>
      <c r="E3" s="21">
        <v>11863230493.495846</v>
      </c>
      <c r="G3" s="22" t="s">
        <v>14</v>
      </c>
      <c r="H3" s="16">
        <v>51368810625</v>
      </c>
    </row>
    <row r="4" spans="1:9" ht="15.75" x14ac:dyDescent="0.2">
      <c r="A4" s="21">
        <v>55501128701.998199</v>
      </c>
      <c r="B4" s="21">
        <v>8411350806.8379822</v>
      </c>
      <c r="C4" s="21">
        <v>23566032363.599674</v>
      </c>
      <c r="D4" s="21">
        <v>11660515038.064699</v>
      </c>
      <c r="E4" s="21">
        <v>11863230493.495846</v>
      </c>
      <c r="G4" s="22" t="s">
        <v>16</v>
      </c>
      <c r="H4" s="16">
        <v>5549555476.386322</v>
      </c>
    </row>
    <row r="5" spans="1:9" ht="15.75" x14ac:dyDescent="0.2">
      <c r="A5" s="21">
        <v>55468488757.650986</v>
      </c>
      <c r="B5" s="21">
        <v>8062937718.1018333</v>
      </c>
      <c r="C5" s="21">
        <v>24063423760.588509</v>
      </c>
      <c r="D5" s="21">
        <v>11386590346.789122</v>
      </c>
      <c r="E5" s="21">
        <v>11955536932.171524</v>
      </c>
      <c r="G5" s="22" t="s">
        <v>15</v>
      </c>
      <c r="H5" s="17">
        <v>0.11099110952772644</v>
      </c>
    </row>
    <row r="6" spans="1:9" ht="15.75" x14ac:dyDescent="0.2">
      <c r="A6" s="21">
        <v>54548834093.06958</v>
      </c>
      <c r="B6" s="21">
        <v>8198809994.3057766</v>
      </c>
      <c r="C6" s="21">
        <v>23040356274.793102</v>
      </c>
      <c r="D6" s="21">
        <v>11565998508.94178</v>
      </c>
      <c r="E6" s="21">
        <v>11743669315.028927</v>
      </c>
    </row>
    <row r="7" spans="1:9" ht="15.75" x14ac:dyDescent="0.25">
      <c r="A7" s="21">
        <v>57447751333.249718</v>
      </c>
      <c r="B7" s="21">
        <v>8300629673.6100931</v>
      </c>
      <c r="C7" s="21">
        <v>24527634474.265408</v>
      </c>
      <c r="D7" s="21">
        <v>12707556920.601295</v>
      </c>
      <c r="E7" s="21">
        <v>11911930264.772928</v>
      </c>
      <c r="G7" s="23" t="s">
        <v>29</v>
      </c>
      <c r="H7" s="16">
        <v>7948385622.8255987</v>
      </c>
      <c r="I7" s="25"/>
    </row>
    <row r="8" spans="1:9" ht="15.75" x14ac:dyDescent="0.2">
      <c r="A8" s="21">
        <v>55501128701.998199</v>
      </c>
      <c r="B8" s="21">
        <v>8411350806.8379822</v>
      </c>
      <c r="C8" s="21">
        <v>23566032363.599674</v>
      </c>
      <c r="D8" s="21">
        <v>11660515038.064699</v>
      </c>
      <c r="E8" s="21">
        <v>11863230493.495846</v>
      </c>
      <c r="G8" s="14" t="s">
        <v>26</v>
      </c>
      <c r="H8" s="16">
        <v>3831257197.7257423</v>
      </c>
    </row>
    <row r="9" spans="1:9" ht="15.75" x14ac:dyDescent="0.2">
      <c r="A9" s="21">
        <v>58075599351.252693</v>
      </c>
      <c r="B9" s="21">
        <v>7669996935.7367992</v>
      </c>
      <c r="C9" s="21">
        <v>25304663356.705475</v>
      </c>
      <c r="D9" s="21">
        <v>13227227701.301384</v>
      </c>
      <c r="E9" s="21">
        <v>11873711357.509033</v>
      </c>
      <c r="G9" s="14" t="s">
        <v>18</v>
      </c>
      <c r="H9" s="16">
        <v>3096583424.7492056</v>
      </c>
    </row>
    <row r="10" spans="1:9" ht="15.75" x14ac:dyDescent="0.2">
      <c r="A10" s="21"/>
      <c r="B10" s="21"/>
      <c r="C10" s="21"/>
      <c r="D10" s="21"/>
      <c r="E10" s="21"/>
      <c r="G10" s="14" t="s">
        <v>19</v>
      </c>
      <c r="H10" s="16">
        <v>1020545000.3506509</v>
      </c>
    </row>
    <row r="11" spans="1:9" ht="15.75" x14ac:dyDescent="0.25">
      <c r="A11" s="21"/>
      <c r="B11" s="21"/>
      <c r="C11" s="21"/>
      <c r="D11" s="21"/>
      <c r="E11" s="21"/>
      <c r="G11" s="23" t="s">
        <v>28</v>
      </c>
      <c r="H11" s="16">
        <v>24151810554.135162</v>
      </c>
      <c r="I11" s="24"/>
    </row>
    <row r="12" spans="1:9" ht="15.75" x14ac:dyDescent="0.2">
      <c r="A12" s="21"/>
      <c r="B12" s="21"/>
      <c r="C12" s="21"/>
      <c r="D12" s="21"/>
      <c r="E12" s="21"/>
      <c r="G12" s="14" t="s">
        <v>20</v>
      </c>
      <c r="H12" s="16">
        <v>10977272866.891998</v>
      </c>
    </row>
    <row r="13" spans="1:9" ht="15.75" x14ac:dyDescent="0.2">
      <c r="A13" s="21"/>
      <c r="B13" s="21"/>
      <c r="C13" s="21"/>
      <c r="D13" s="21"/>
      <c r="E13" s="21"/>
      <c r="G13" s="14" t="s">
        <v>21</v>
      </c>
      <c r="H13" s="16">
        <v>11073212030.290123</v>
      </c>
    </row>
    <row r="14" spans="1:9" ht="15.75" x14ac:dyDescent="0.2">
      <c r="A14" s="21"/>
      <c r="B14" s="21"/>
      <c r="C14" s="21"/>
      <c r="D14" s="21"/>
      <c r="E14" s="21"/>
      <c r="G14" s="14" t="s">
        <v>22</v>
      </c>
      <c r="H14" s="16">
        <v>2101325656.953042</v>
      </c>
    </row>
    <row r="15" spans="1:9" ht="15.75" x14ac:dyDescent="0.25">
      <c r="A15" s="21"/>
      <c r="B15" s="21"/>
      <c r="C15" s="21"/>
      <c r="D15" s="21"/>
      <c r="E15" s="21"/>
      <c r="G15" s="23" t="s">
        <v>27</v>
      </c>
      <c r="H15" s="16">
        <v>11533326024.478077</v>
      </c>
    </row>
    <row r="16" spans="1:9" ht="15.75" x14ac:dyDescent="0.2">
      <c r="A16" s="21"/>
      <c r="B16" s="21"/>
      <c r="C16" s="21"/>
      <c r="D16" s="21"/>
      <c r="E16" s="21"/>
      <c r="G16" s="14" t="s">
        <v>24</v>
      </c>
      <c r="H16" s="16">
        <v>5349467726.2264376</v>
      </c>
    </row>
    <row r="17" spans="1:8" ht="15.75" x14ac:dyDescent="0.2">
      <c r="A17" s="21"/>
      <c r="B17" s="21"/>
      <c r="C17" s="21"/>
      <c r="D17" s="21"/>
      <c r="E17" s="21"/>
      <c r="G17" s="14" t="s">
        <v>23</v>
      </c>
      <c r="H17" s="16">
        <v>3313023108.4922023</v>
      </c>
    </row>
    <row r="18" spans="1:8" ht="15.75" x14ac:dyDescent="0.2">
      <c r="A18" s="21"/>
      <c r="B18" s="21"/>
      <c r="C18" s="21"/>
      <c r="D18" s="21"/>
      <c r="E18" s="21"/>
      <c r="G18" s="14" t="s">
        <v>25</v>
      </c>
      <c r="H18" s="16">
        <v>2870835189.7594371</v>
      </c>
    </row>
    <row r="19" spans="1:8" x14ac:dyDescent="0.2">
      <c r="A19" s="15"/>
      <c r="B19" s="15"/>
      <c r="C19" s="15"/>
      <c r="D19" s="15"/>
      <c r="E19" s="15"/>
    </row>
    <row r="20" spans="1:8" x14ac:dyDescent="0.2">
      <c r="A20" s="15"/>
      <c r="B20" s="15"/>
      <c r="C20" s="15"/>
      <c r="D20" s="15"/>
      <c r="E20" s="15"/>
    </row>
    <row r="21" spans="1:8" x14ac:dyDescent="0.2">
      <c r="A21" s="15"/>
      <c r="B21" s="15"/>
      <c r="C21" s="15"/>
      <c r="D21" s="15"/>
      <c r="E21" s="15"/>
    </row>
    <row r="23" spans="1:8" x14ac:dyDescent="0.2">
      <c r="A23" s="15"/>
      <c r="B23" s="15"/>
      <c r="C23" s="15"/>
      <c r="D23" s="15"/>
      <c r="E23" s="15"/>
    </row>
    <row r="24" spans="1:8" x14ac:dyDescent="0.2">
      <c r="A24" s="15"/>
      <c r="B24" s="15"/>
      <c r="C24" s="15"/>
      <c r="D24" s="15"/>
      <c r="E24" s="15"/>
    </row>
    <row r="25" spans="1:8" x14ac:dyDescent="0.2">
      <c r="A25" s="15"/>
      <c r="B25" s="15"/>
      <c r="C25" s="15"/>
      <c r="D25" s="15"/>
      <c r="E25" s="15"/>
    </row>
    <row r="26" spans="1:8" x14ac:dyDescent="0.2">
      <c r="A26" s="15"/>
      <c r="B26" s="15"/>
      <c r="C26" s="15"/>
      <c r="D26" s="15"/>
      <c r="E26" s="1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279E-C30D-4644-8D76-F7841D99F45F}">
  <sheetPr codeName="Sheet3"/>
  <dimension ref="A1:AJ49"/>
  <sheetViews>
    <sheetView tabSelected="1" topLeftCell="A21" workbookViewId="0">
      <selection activeCell="L43" sqref="L43"/>
    </sheetView>
  </sheetViews>
  <sheetFormatPr defaultRowHeight="15" x14ac:dyDescent="0.2"/>
  <cols>
    <col min="1" max="1" width="18.109375" style="18" bestFit="1" customWidth="1"/>
    <col min="2" max="2" width="17" style="18" bestFit="1" customWidth="1"/>
    <col min="3" max="5" width="18.109375" style="18" bestFit="1" customWidth="1"/>
    <col min="6" max="6" width="8.88671875" style="2" customWidth="1"/>
    <col min="7" max="7" width="21.5546875" style="2" bestFit="1" customWidth="1"/>
    <col min="8" max="8" width="18.109375" style="2" bestFit="1" customWidth="1"/>
    <col min="9" max="9" width="8.88671875" style="2" customWidth="1"/>
    <col min="10" max="10" width="10.6640625" style="2" bestFit="1" customWidth="1"/>
    <col min="11" max="11" width="16.6640625" style="2" bestFit="1" customWidth="1"/>
    <col min="12" max="12" width="7.21875" style="2" bestFit="1" customWidth="1"/>
    <col min="13" max="13" width="6.21875" style="2" customWidth="1"/>
    <col min="14" max="16384" width="8.88671875" style="2"/>
  </cols>
  <sheetData>
    <row r="1" spans="1:36" ht="15.75" x14ac:dyDescent="0.25">
      <c r="A1" s="21" t="s">
        <v>12</v>
      </c>
      <c r="B1" s="21" t="s">
        <v>8</v>
      </c>
      <c r="C1" s="21" t="s">
        <v>10</v>
      </c>
      <c r="D1" s="21" t="s">
        <v>11</v>
      </c>
      <c r="E1" s="21" t="s">
        <v>9</v>
      </c>
      <c r="G1" s="22" t="s">
        <v>17</v>
      </c>
      <c r="H1" s="16">
        <v>57881250000.000008</v>
      </c>
      <c r="J1" s="23" t="s">
        <v>34</v>
      </c>
      <c r="K1" s="23" t="s">
        <v>30</v>
      </c>
    </row>
    <row r="2" spans="1:36" ht="15.75" x14ac:dyDescent="0.25">
      <c r="A2" s="21">
        <v>57881250000.000008</v>
      </c>
      <c r="B2" s="21">
        <v>8682187500.0000019</v>
      </c>
      <c r="C2" s="21">
        <v>23152500000.000004</v>
      </c>
      <c r="D2" s="21">
        <v>14470312500.000004</v>
      </c>
      <c r="E2" s="21">
        <v>11576250000</v>
      </c>
      <c r="F2" s="35"/>
      <c r="G2" s="34" t="s">
        <v>13</v>
      </c>
      <c r="H2" s="16">
        <v>63201640625</v>
      </c>
      <c r="I2" s="32"/>
      <c r="J2" s="33" t="s">
        <v>31</v>
      </c>
      <c r="K2" s="39">
        <v>5</v>
      </c>
    </row>
    <row r="3" spans="1:36" ht="15.75" x14ac:dyDescent="0.25">
      <c r="A3" s="21">
        <v>57881250.000000007</v>
      </c>
      <c r="B3" s="21">
        <v>8682187.5000000019</v>
      </c>
      <c r="C3" s="21">
        <v>23152500.000000004</v>
      </c>
      <c r="D3" s="21">
        <v>14470312.500000004</v>
      </c>
      <c r="E3" s="21">
        <v>11576250</v>
      </c>
      <c r="F3" s="35"/>
      <c r="G3" s="34" t="s">
        <v>14</v>
      </c>
      <c r="H3" s="16">
        <v>51312765000</v>
      </c>
      <c r="I3" s="32"/>
      <c r="J3" s="33" t="s">
        <v>32</v>
      </c>
      <c r="K3" s="39">
        <v>5</v>
      </c>
    </row>
    <row r="4" spans="1:36" ht="15.75" x14ac:dyDescent="0.25">
      <c r="A4" s="21">
        <v>57881250.000000007</v>
      </c>
      <c r="B4" s="21">
        <v>8682187.5000000019</v>
      </c>
      <c r="C4" s="21">
        <v>23152500.000000004</v>
      </c>
      <c r="D4" s="21">
        <v>14470312.500000004</v>
      </c>
      <c r="E4" s="21">
        <v>11576250</v>
      </c>
      <c r="F4" s="35"/>
      <c r="G4" s="34" t="s">
        <v>16</v>
      </c>
      <c r="H4" s="16">
        <v>7881250000.0000076</v>
      </c>
      <c r="I4" s="32"/>
      <c r="J4" s="33" t="s">
        <v>33</v>
      </c>
      <c r="K4" s="39">
        <v>5</v>
      </c>
    </row>
    <row r="5" spans="1:36" ht="15.75" x14ac:dyDescent="0.2">
      <c r="A5" s="21">
        <v>57649725000.000008</v>
      </c>
      <c r="B5" s="21">
        <v>8682187500.0000019</v>
      </c>
      <c r="C5" s="21">
        <v>22920975000.000004</v>
      </c>
      <c r="D5" s="21">
        <v>14470312500.000004</v>
      </c>
      <c r="E5" s="21">
        <v>11576250000</v>
      </c>
      <c r="F5" s="35"/>
      <c r="G5" s="34" t="s">
        <v>15</v>
      </c>
      <c r="H5" s="38">
        <v>0.15762500000000015</v>
      </c>
      <c r="I5" s="32"/>
      <c r="J5" s="32"/>
      <c r="K5" s="32"/>
    </row>
    <row r="6" spans="1:36" ht="15.75" x14ac:dyDescent="0.2">
      <c r="A6" s="21">
        <v>57.881250000000009</v>
      </c>
      <c r="B6" s="21">
        <v>8.6821875000000013</v>
      </c>
      <c r="C6" s="21">
        <v>23.152500000000003</v>
      </c>
      <c r="D6" s="21">
        <v>14.470312500000002</v>
      </c>
      <c r="E6" s="21">
        <v>11.576250000000002</v>
      </c>
      <c r="F6" s="35"/>
      <c r="G6" s="35"/>
      <c r="H6" s="35"/>
      <c r="I6" s="32"/>
      <c r="J6" s="32"/>
      <c r="K6" s="32"/>
    </row>
    <row r="7" spans="1:36" ht="15.75" x14ac:dyDescent="0.25">
      <c r="A7" s="21">
        <v>57881250.000000007</v>
      </c>
      <c r="B7" s="21">
        <v>8682187.5000000019</v>
      </c>
      <c r="C7" s="21">
        <v>23152500.000000004</v>
      </c>
      <c r="D7" s="21">
        <v>14470312.500000004</v>
      </c>
      <c r="E7" s="21">
        <v>11576250</v>
      </c>
      <c r="F7" s="35"/>
      <c r="G7" s="36" t="s">
        <v>29</v>
      </c>
      <c r="H7" s="16">
        <v>8682187500.0000019</v>
      </c>
      <c r="I7" s="32"/>
      <c r="J7" s="33" t="s">
        <v>35</v>
      </c>
      <c r="K7" s="33" t="s">
        <v>42</v>
      </c>
      <c r="AJ7" s="31"/>
    </row>
    <row r="8" spans="1:36" ht="15.75" x14ac:dyDescent="0.25">
      <c r="A8" s="21">
        <v>57881.250000000007</v>
      </c>
      <c r="B8" s="21">
        <v>8682.1875</v>
      </c>
      <c r="C8" s="21">
        <v>23152.500000000004</v>
      </c>
      <c r="D8" s="21">
        <v>14470.312500000004</v>
      </c>
      <c r="E8" s="21">
        <v>11576.25</v>
      </c>
      <c r="F8" s="35"/>
      <c r="G8" s="37" t="s">
        <v>26</v>
      </c>
      <c r="H8" s="16">
        <v>4341093750</v>
      </c>
      <c r="I8" s="32"/>
      <c r="J8" s="33" t="s">
        <v>36</v>
      </c>
      <c r="K8" s="39">
        <v>5</v>
      </c>
    </row>
    <row r="9" spans="1:36" ht="15.75" x14ac:dyDescent="0.25">
      <c r="A9" s="21">
        <v>57881.250000000007</v>
      </c>
      <c r="B9" s="21">
        <v>8682.1875</v>
      </c>
      <c r="C9" s="21">
        <v>23152.500000000004</v>
      </c>
      <c r="D9" s="21">
        <v>14470.312500000004</v>
      </c>
      <c r="E9" s="21">
        <v>11576.25</v>
      </c>
      <c r="F9" s="35"/>
      <c r="G9" s="37" t="s">
        <v>18</v>
      </c>
      <c r="H9" s="16">
        <v>3472875000.0000005</v>
      </c>
      <c r="I9" s="32"/>
      <c r="J9" s="33" t="s">
        <v>37</v>
      </c>
      <c r="K9" s="39">
        <v>5</v>
      </c>
    </row>
    <row r="10" spans="1:36" ht="15.75" x14ac:dyDescent="0.25">
      <c r="A10" s="21">
        <v>57881.250000000007</v>
      </c>
      <c r="B10" s="21">
        <v>8682.1875</v>
      </c>
      <c r="C10" s="21">
        <v>23152.500000000004</v>
      </c>
      <c r="D10" s="21">
        <v>14470.312500000004</v>
      </c>
      <c r="E10" s="21">
        <v>11576.25</v>
      </c>
      <c r="F10" s="35"/>
      <c r="G10" s="37" t="s">
        <v>19</v>
      </c>
      <c r="H10" s="16">
        <v>868218750.00000012</v>
      </c>
      <c r="I10" s="32"/>
      <c r="J10" s="33" t="s">
        <v>38</v>
      </c>
      <c r="K10" s="39">
        <v>5</v>
      </c>
    </row>
    <row r="11" spans="1:36" ht="15.75" x14ac:dyDescent="0.25">
      <c r="A11" s="21">
        <v>57.881250000000009</v>
      </c>
      <c r="B11" s="21">
        <v>8.6821875000000013</v>
      </c>
      <c r="C11" s="21">
        <v>23.152500000000003</v>
      </c>
      <c r="D11" s="21">
        <v>14.470312500000002</v>
      </c>
      <c r="E11" s="21">
        <v>11.576250000000002</v>
      </c>
      <c r="F11" s="35"/>
      <c r="G11" s="36" t="s">
        <v>28</v>
      </c>
      <c r="H11" s="16">
        <v>23152500000.000004</v>
      </c>
      <c r="I11" s="32"/>
      <c r="J11" s="33" t="s">
        <v>39</v>
      </c>
      <c r="K11" s="39">
        <v>5</v>
      </c>
    </row>
    <row r="12" spans="1:36" ht="15.75" x14ac:dyDescent="0.25">
      <c r="A12" s="21">
        <v>57881.250000000007</v>
      </c>
      <c r="B12" s="21">
        <v>8682.1875</v>
      </c>
      <c r="C12" s="21">
        <v>23152.500000000004</v>
      </c>
      <c r="D12" s="21">
        <v>14470.312500000004</v>
      </c>
      <c r="E12" s="21">
        <v>11576.25</v>
      </c>
      <c r="F12" s="35"/>
      <c r="G12" s="37" t="s">
        <v>20</v>
      </c>
      <c r="H12" s="16">
        <v>11576250000.000002</v>
      </c>
      <c r="I12" s="32"/>
      <c r="J12" s="33" t="s">
        <v>40</v>
      </c>
      <c r="K12" s="39">
        <v>5</v>
      </c>
    </row>
    <row r="13" spans="1:36" ht="15.75" x14ac:dyDescent="0.25">
      <c r="A13" s="21">
        <v>57881.250000000007</v>
      </c>
      <c r="B13" s="21">
        <v>8682.1875</v>
      </c>
      <c r="C13" s="21">
        <v>23152.500000000004</v>
      </c>
      <c r="D13" s="21">
        <v>14470.312500000004</v>
      </c>
      <c r="E13" s="21">
        <v>11576.25</v>
      </c>
      <c r="F13" s="35"/>
      <c r="G13" s="37" t="s">
        <v>21</v>
      </c>
      <c r="H13" s="16">
        <v>9261000000.0000019</v>
      </c>
      <c r="I13" s="32"/>
      <c r="J13" s="33" t="s">
        <v>41</v>
      </c>
      <c r="K13" s="39">
        <v>5</v>
      </c>
    </row>
    <row r="14" spans="1:36" ht="15.75" x14ac:dyDescent="0.2">
      <c r="A14" s="21">
        <v>57881.250000000007</v>
      </c>
      <c r="B14" s="21">
        <v>8682.1875</v>
      </c>
      <c r="C14" s="21">
        <v>23152.500000000004</v>
      </c>
      <c r="D14" s="21">
        <v>14470.312500000004</v>
      </c>
      <c r="E14" s="21">
        <v>11576.25</v>
      </c>
      <c r="F14" s="35"/>
      <c r="G14" s="37" t="s">
        <v>22</v>
      </c>
      <c r="H14" s="16">
        <v>2315250000.0000005</v>
      </c>
      <c r="I14" s="32"/>
      <c r="J14" s="32"/>
      <c r="K14" s="32"/>
    </row>
    <row r="15" spans="1:36" ht="15.75" x14ac:dyDescent="0.25">
      <c r="A15" s="21">
        <v>57881.250000000007</v>
      </c>
      <c r="B15" s="21">
        <v>8682.1875</v>
      </c>
      <c r="C15" s="21">
        <v>23152.500000000004</v>
      </c>
      <c r="D15" s="21">
        <v>14470.312500000004</v>
      </c>
      <c r="E15" s="21">
        <v>11576.25</v>
      </c>
      <c r="F15" s="35"/>
      <c r="G15" s="36" t="s">
        <v>27</v>
      </c>
      <c r="H15" s="16">
        <v>14470312500.000004</v>
      </c>
      <c r="I15" s="32"/>
      <c r="J15" s="33" t="s">
        <v>35</v>
      </c>
      <c r="K15" s="33" t="s">
        <v>43</v>
      </c>
    </row>
    <row r="16" spans="1:36" ht="15.75" x14ac:dyDescent="0.25">
      <c r="A16" s="21">
        <v>57881.250000000007</v>
      </c>
      <c r="B16" s="21">
        <v>8682.1875</v>
      </c>
      <c r="C16" s="21">
        <v>23152.500000000004</v>
      </c>
      <c r="D16" s="21">
        <v>14470.312500000004</v>
      </c>
      <c r="E16" s="21">
        <v>11576.25</v>
      </c>
      <c r="F16" s="35"/>
      <c r="G16" s="37" t="s">
        <v>24</v>
      </c>
      <c r="H16" s="16">
        <v>7235156250.000001</v>
      </c>
      <c r="I16" s="32"/>
      <c r="J16" s="18" t="s">
        <v>36</v>
      </c>
      <c r="K16" s="39">
        <v>33</v>
      </c>
      <c r="L16" s="23" t="s">
        <v>44</v>
      </c>
      <c r="M16" s="28">
        <f>SUMIF(K16:K18, "&lt;&gt;0")</f>
        <v>100</v>
      </c>
    </row>
    <row r="17" spans="1:13" ht="15.75" x14ac:dyDescent="0.2">
      <c r="A17" s="21">
        <v>57881250000.000008</v>
      </c>
      <c r="B17" s="21">
        <v>8682187500.0000019</v>
      </c>
      <c r="C17" s="21">
        <v>23152500000.000004</v>
      </c>
      <c r="D17" s="21">
        <v>14470312500.000004</v>
      </c>
      <c r="E17" s="21">
        <v>11576250000</v>
      </c>
      <c r="F17" s="35"/>
      <c r="G17" s="37" t="s">
        <v>23</v>
      </c>
      <c r="H17" s="16">
        <v>4341093750</v>
      </c>
      <c r="I17" s="32"/>
      <c r="J17" s="18" t="s">
        <v>37</v>
      </c>
      <c r="K17" s="39">
        <v>33</v>
      </c>
    </row>
    <row r="18" spans="1:13" ht="15.75" x14ac:dyDescent="0.2">
      <c r="A18" s="21">
        <v>57881250000.000008</v>
      </c>
      <c r="B18" s="21">
        <v>8682187500.0000019</v>
      </c>
      <c r="C18" s="21">
        <v>23152500000.000004</v>
      </c>
      <c r="D18" s="21">
        <v>14470312500.000004</v>
      </c>
      <c r="E18" s="21">
        <v>11576250000</v>
      </c>
      <c r="F18" s="35"/>
      <c r="G18" s="37" t="s">
        <v>25</v>
      </c>
      <c r="H18" s="16">
        <v>2894062500.0000005</v>
      </c>
      <c r="I18" s="32"/>
      <c r="J18" s="18" t="s">
        <v>38</v>
      </c>
      <c r="K18" s="39">
        <v>34</v>
      </c>
    </row>
    <row r="19" spans="1:13" ht="15.75" x14ac:dyDescent="0.25">
      <c r="A19" s="21">
        <v>57881250000.000008</v>
      </c>
      <c r="B19" s="21">
        <v>8682187500.0000019</v>
      </c>
      <c r="C19" s="21">
        <v>23152500000.000004</v>
      </c>
      <c r="D19" s="21">
        <v>14470312500.000004</v>
      </c>
      <c r="E19" s="21">
        <v>11576250000</v>
      </c>
      <c r="F19" s="35"/>
      <c r="G19" s="35"/>
      <c r="H19" s="35"/>
      <c r="I19" s="32"/>
      <c r="J19" s="18" t="s">
        <v>39</v>
      </c>
      <c r="K19" s="39">
        <v>33</v>
      </c>
      <c r="L19" s="23" t="s">
        <v>45</v>
      </c>
      <c r="M19" s="28">
        <f>SUMIF(K19:K21, "&lt;&gt;0")</f>
        <v>100</v>
      </c>
    </row>
    <row r="20" spans="1:13" ht="15.75" x14ac:dyDescent="0.2">
      <c r="A20" s="21"/>
      <c r="B20" s="21"/>
      <c r="C20" s="21"/>
      <c r="D20" s="21"/>
      <c r="E20" s="21"/>
      <c r="F20" s="35"/>
      <c r="G20" s="35"/>
      <c r="H20" s="35"/>
      <c r="I20" s="32"/>
      <c r="J20" s="18" t="s">
        <v>38</v>
      </c>
      <c r="K20" s="39">
        <v>33</v>
      </c>
    </row>
    <row r="21" spans="1:13" ht="15.75" x14ac:dyDescent="0.2">
      <c r="A21" s="21"/>
      <c r="B21" s="21"/>
      <c r="C21" s="21"/>
      <c r="D21" s="21"/>
      <c r="E21" s="21"/>
      <c r="F21" s="35"/>
      <c r="G21" s="35"/>
      <c r="H21" s="35"/>
      <c r="I21" s="32"/>
      <c r="J21" s="18" t="s">
        <v>36</v>
      </c>
      <c r="K21" s="39">
        <v>34</v>
      </c>
    </row>
    <row r="22" spans="1:13" ht="15.75" x14ac:dyDescent="0.25">
      <c r="A22" s="21"/>
      <c r="B22" s="21"/>
      <c r="C22" s="21"/>
      <c r="D22" s="21"/>
      <c r="E22" s="21"/>
      <c r="J22" s="14" t="s">
        <v>41</v>
      </c>
      <c r="K22" s="26">
        <v>33</v>
      </c>
      <c r="L22" s="23" t="s">
        <v>46</v>
      </c>
      <c r="M22" s="28">
        <f>SUMIF(K22:K24, "&lt;&gt;0")</f>
        <v>100</v>
      </c>
    </row>
    <row r="23" spans="1:13" ht="15.75" x14ac:dyDescent="0.2">
      <c r="A23" s="21"/>
      <c r="B23" s="21"/>
      <c r="C23" s="21"/>
      <c r="D23" s="21"/>
      <c r="E23" s="21"/>
      <c r="J23" s="14" t="s">
        <v>40</v>
      </c>
      <c r="K23" s="26">
        <v>33</v>
      </c>
    </row>
    <row r="24" spans="1:13" ht="15.75" x14ac:dyDescent="0.2">
      <c r="A24" s="21"/>
      <c r="B24" s="21"/>
      <c r="C24" s="21"/>
      <c r="D24" s="21"/>
      <c r="E24" s="21"/>
      <c r="J24" s="14" t="s">
        <v>36</v>
      </c>
      <c r="K24" s="26">
        <v>34</v>
      </c>
    </row>
    <row r="25" spans="1:13" ht="15.75" x14ac:dyDescent="0.2">
      <c r="A25" s="21"/>
      <c r="B25" s="21"/>
      <c r="C25" s="21"/>
      <c r="D25" s="21"/>
      <c r="E25" s="21"/>
    </row>
    <row r="26" spans="1:13" ht="15.75" x14ac:dyDescent="0.2">
      <c r="A26" s="21"/>
      <c r="B26" s="21"/>
      <c r="C26" s="21"/>
      <c r="D26" s="21"/>
      <c r="E26" s="21"/>
    </row>
    <row r="27" spans="1:13" ht="15.75" x14ac:dyDescent="0.2">
      <c r="A27" s="21"/>
      <c r="B27" s="21"/>
      <c r="C27" s="21"/>
      <c r="D27" s="21"/>
      <c r="E27" s="21"/>
    </row>
    <row r="28" spans="1:13" ht="15.75" x14ac:dyDescent="0.2">
      <c r="A28" s="21"/>
      <c r="B28" s="21"/>
      <c r="C28" s="21"/>
      <c r="D28" s="21"/>
      <c r="E28" s="21"/>
    </row>
    <row r="29" spans="1:13" ht="15.75" x14ac:dyDescent="0.2">
      <c r="A29" s="21"/>
      <c r="B29" s="21"/>
      <c r="C29" s="21"/>
      <c r="D29" s="21"/>
      <c r="E29" s="21"/>
    </row>
    <row r="30" spans="1:13" ht="15.75" x14ac:dyDescent="0.2">
      <c r="A30" s="21"/>
      <c r="B30" s="21"/>
      <c r="C30" s="21"/>
      <c r="D30" s="21"/>
      <c r="E30" s="21"/>
    </row>
    <row r="31" spans="1:13" ht="15.75" x14ac:dyDescent="0.2">
      <c r="A31" s="21"/>
      <c r="B31" s="21"/>
      <c r="C31" s="21"/>
      <c r="D31" s="21"/>
      <c r="E31" s="21"/>
    </row>
    <row r="32" spans="1:13" ht="15.75" x14ac:dyDescent="0.2">
      <c r="A32" s="21"/>
      <c r="B32" s="21"/>
      <c r="C32" s="21"/>
      <c r="D32" s="21"/>
      <c r="E32" s="21"/>
    </row>
    <row r="33" spans="1:5" ht="15.75" x14ac:dyDescent="0.2">
      <c r="A33" s="21"/>
      <c r="B33" s="21"/>
      <c r="C33" s="21"/>
      <c r="D33" s="21"/>
      <c r="E33" s="21"/>
    </row>
    <row r="34" spans="1:5" ht="15.75" x14ac:dyDescent="0.2">
      <c r="A34" s="21"/>
      <c r="B34" s="21"/>
      <c r="C34" s="21"/>
      <c r="D34" s="21"/>
      <c r="E34" s="21"/>
    </row>
    <row r="35" spans="1:5" ht="15.75" x14ac:dyDescent="0.2">
      <c r="A35" s="21"/>
      <c r="B35" s="21"/>
      <c r="C35" s="21"/>
      <c r="D35" s="21"/>
      <c r="E35" s="21"/>
    </row>
    <row r="36" spans="1:5" ht="15.75" x14ac:dyDescent="0.2">
      <c r="A36" s="21"/>
      <c r="B36" s="21"/>
      <c r="C36" s="21"/>
      <c r="D36" s="21"/>
      <c r="E36" s="21"/>
    </row>
    <row r="37" spans="1:5" ht="15.75" x14ac:dyDescent="0.2">
      <c r="A37" s="21"/>
      <c r="B37" s="21"/>
      <c r="C37" s="21"/>
      <c r="D37" s="21"/>
      <c r="E37" s="21"/>
    </row>
    <row r="38" spans="1:5" ht="15.75" x14ac:dyDescent="0.2">
      <c r="A38" s="21"/>
      <c r="B38" s="21"/>
      <c r="C38" s="21"/>
      <c r="D38" s="21"/>
      <c r="E38" s="21"/>
    </row>
    <row r="39" spans="1:5" ht="15.75" x14ac:dyDescent="0.2">
      <c r="A39" s="21"/>
      <c r="B39" s="21"/>
      <c r="C39" s="21"/>
      <c r="D39" s="21"/>
      <c r="E39" s="21"/>
    </row>
    <row r="40" spans="1:5" ht="15.75" x14ac:dyDescent="0.2">
      <c r="A40" s="21"/>
      <c r="B40" s="21"/>
      <c r="C40" s="21"/>
      <c r="D40" s="21"/>
      <c r="E40" s="21"/>
    </row>
    <row r="41" spans="1:5" ht="15.75" x14ac:dyDescent="0.2">
      <c r="A41" s="21"/>
      <c r="B41" s="21"/>
      <c r="C41" s="21"/>
      <c r="D41" s="21"/>
      <c r="E41" s="21"/>
    </row>
    <row r="42" spans="1:5" x14ac:dyDescent="0.2">
      <c r="A42" s="15"/>
      <c r="B42" s="15"/>
      <c r="C42" s="15"/>
      <c r="D42" s="15"/>
      <c r="E42" s="15"/>
    </row>
    <row r="43" spans="1:5" x14ac:dyDescent="0.2">
      <c r="A43" s="15"/>
      <c r="B43" s="15"/>
      <c r="C43" s="15"/>
      <c r="D43" s="15"/>
      <c r="E43" s="15"/>
    </row>
    <row r="44" spans="1:5" x14ac:dyDescent="0.2">
      <c r="A44" s="15"/>
      <c r="B44" s="15"/>
      <c r="C44" s="15"/>
      <c r="D44" s="15"/>
      <c r="E44" s="15"/>
    </row>
    <row r="46" spans="1:5" x14ac:dyDescent="0.2">
      <c r="A46" s="15"/>
      <c r="B46" s="15"/>
      <c r="C46" s="15"/>
      <c r="D46" s="15"/>
      <c r="E46" s="15"/>
    </row>
    <row r="47" spans="1:5" x14ac:dyDescent="0.2">
      <c r="A47" s="15"/>
      <c r="B47" s="15"/>
      <c r="C47" s="15"/>
      <c r="D47" s="15"/>
      <c r="E47" s="15"/>
    </row>
    <row r="48" spans="1:5" x14ac:dyDescent="0.2">
      <c r="A48" s="15"/>
      <c r="B48" s="15"/>
      <c r="C48" s="15"/>
      <c r="D48" s="15"/>
      <c r="E48" s="15"/>
    </row>
    <row r="49" spans="1:5" x14ac:dyDescent="0.2">
      <c r="A49" s="15"/>
      <c r="B49" s="15"/>
      <c r="C49" s="15"/>
      <c r="D49" s="15"/>
      <c r="E49" s="15"/>
    </row>
  </sheetData>
  <phoneticPr fontId="4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71465-F1F4-4E7D-951B-5422BC8AAE20}">
  <sheetPr codeName="Sheet4"/>
  <dimension ref="A1:Q86"/>
  <sheetViews>
    <sheetView workbookViewId="0">
      <selection activeCell="E29" sqref="E29"/>
    </sheetView>
  </sheetViews>
  <sheetFormatPr defaultRowHeight="15" x14ac:dyDescent="0.2"/>
  <cols>
    <col min="1" max="1" width="7" style="27" bestFit="1" customWidth="1"/>
    <col min="2" max="2" width="18.33203125" style="27" customWidth="1"/>
    <col min="3" max="5" width="18.109375" style="27" bestFit="1" customWidth="1"/>
    <col min="6" max="6" width="11.33203125" style="27" customWidth="1"/>
    <col min="7" max="7" width="10.88671875" style="27" bestFit="1" customWidth="1"/>
    <col min="8" max="11" width="18.109375" style="27" bestFit="1" customWidth="1"/>
    <col min="12" max="12" width="8.88671875" style="27"/>
    <col min="13" max="13" width="11.88671875" style="27" bestFit="1" customWidth="1"/>
    <col min="14" max="14" width="17" style="27" bestFit="1" customWidth="1"/>
    <col min="15" max="17" width="18.109375" style="27" bestFit="1" customWidth="1"/>
    <col min="18" max="16384" width="8.88671875" style="27"/>
  </cols>
  <sheetData>
    <row r="1" spans="1:17" s="41" customFormat="1" ht="20.25" x14ac:dyDescent="0.3">
      <c r="A1" s="42" t="s">
        <v>58</v>
      </c>
    </row>
    <row r="2" spans="1:17" s="40" customFormat="1" x14ac:dyDescent="0.2">
      <c r="A2" s="40" t="s">
        <v>34</v>
      </c>
      <c r="B2" s="40" t="s">
        <v>8</v>
      </c>
      <c r="C2" s="40" t="s">
        <v>10</v>
      </c>
      <c r="D2" s="40" t="s">
        <v>54</v>
      </c>
      <c r="E2" s="40" t="s">
        <v>9</v>
      </c>
      <c r="G2" s="40" t="s">
        <v>55</v>
      </c>
      <c r="H2" s="40" t="s">
        <v>8</v>
      </c>
      <c r="I2" s="40" t="s">
        <v>10</v>
      </c>
      <c r="J2" s="40" t="s">
        <v>11</v>
      </c>
      <c r="K2" s="40" t="s">
        <v>56</v>
      </c>
      <c r="M2" s="40" t="s">
        <v>57</v>
      </c>
      <c r="N2" s="40" t="s">
        <v>8</v>
      </c>
      <c r="O2" s="40" t="s">
        <v>10</v>
      </c>
      <c r="P2" s="40" t="s">
        <v>11</v>
      </c>
      <c r="Q2" s="40" t="s">
        <v>9</v>
      </c>
    </row>
    <row r="3" spans="1:17" x14ac:dyDescent="0.2">
      <c r="A3" s="30" t="s">
        <v>31</v>
      </c>
      <c r="B3" s="30">
        <v>7875000000</v>
      </c>
      <c r="C3" s="30">
        <v>21000000000</v>
      </c>
      <c r="D3" s="30">
        <v>13125000000</v>
      </c>
      <c r="E3" s="30">
        <v>10500000000</v>
      </c>
      <c r="F3" s="30"/>
      <c r="G3" s="30"/>
      <c r="H3" s="30">
        <v>8002500000.000001</v>
      </c>
      <c r="I3" s="30">
        <v>22160000000</v>
      </c>
      <c r="J3" s="30">
        <v>13200000000</v>
      </c>
      <c r="K3" s="30">
        <v>10500000000</v>
      </c>
      <c r="L3" s="30"/>
      <c r="M3" s="30"/>
      <c r="N3" s="30">
        <v>7410000000</v>
      </c>
      <c r="O3" s="30">
        <v>20540000000</v>
      </c>
      <c r="P3" s="30">
        <v>10271406250</v>
      </c>
      <c r="Q3" s="30">
        <v>10500000000</v>
      </c>
    </row>
    <row r="4" spans="1:17" x14ac:dyDescent="0.2">
      <c r="A4" s="30" t="s">
        <v>32</v>
      </c>
      <c r="B4" s="30">
        <v>8268750000</v>
      </c>
      <c r="C4" s="30">
        <v>22050000000</v>
      </c>
      <c r="D4" s="30">
        <v>13781250000</v>
      </c>
      <c r="E4" s="30">
        <v>11025000000</v>
      </c>
      <c r="F4" s="30"/>
      <c r="G4" s="30"/>
      <c r="H4" s="30">
        <v>8548575000</v>
      </c>
      <c r="I4" s="30">
        <v>24576800000</v>
      </c>
      <c r="J4" s="30">
        <v>13941000000</v>
      </c>
      <c r="K4" s="30">
        <v>11025000000</v>
      </c>
      <c r="L4" s="30"/>
      <c r="M4" s="30"/>
      <c r="N4" s="30">
        <v>7332300000</v>
      </c>
      <c r="O4" s="30">
        <v>21132200000</v>
      </c>
      <c r="P4" s="30">
        <v>10271406250</v>
      </c>
      <c r="Q4" s="30">
        <v>11025000000</v>
      </c>
    </row>
    <row r="5" spans="1:17" x14ac:dyDescent="0.2">
      <c r="A5" s="30" t="s">
        <v>33</v>
      </c>
      <c r="B5" s="30">
        <v>8682187500.0000019</v>
      </c>
      <c r="C5" s="30">
        <v>23152500000.000004</v>
      </c>
      <c r="D5" s="30">
        <v>14470312500.000004</v>
      </c>
      <c r="E5" s="30">
        <v>11576250000</v>
      </c>
      <c r="F5" s="30"/>
      <c r="G5" s="30"/>
      <c r="H5" s="30">
        <v>9142757250</v>
      </c>
      <c r="I5" s="30">
        <v>27283544000</v>
      </c>
      <c r="J5" s="30">
        <v>14725530000.000002</v>
      </c>
      <c r="K5" s="30">
        <v>11576250000</v>
      </c>
      <c r="L5" s="30"/>
      <c r="M5" s="30"/>
      <c r="N5" s="30">
        <v>7266909000</v>
      </c>
      <c r="O5" s="30">
        <v>21780686000.000004</v>
      </c>
      <c r="P5" s="30">
        <v>10271406250</v>
      </c>
      <c r="Q5" s="30">
        <v>11576250000</v>
      </c>
    </row>
    <row r="6" spans="1:17" x14ac:dyDescent="0.2">
      <c r="A6" s="30" t="s">
        <v>47</v>
      </c>
      <c r="B6" s="30">
        <v>9116296875.0000019</v>
      </c>
      <c r="C6" s="30">
        <v>24310125000.000008</v>
      </c>
      <c r="D6" s="30">
        <v>15193828125.000004</v>
      </c>
      <c r="E6" s="30">
        <v>11810105498.823748</v>
      </c>
      <c r="F6" s="30"/>
      <c r="G6" s="30"/>
      <c r="H6" s="30">
        <v>9790114717.5000019</v>
      </c>
      <c r="I6" s="30">
        <v>30317917520</v>
      </c>
      <c r="J6" s="30">
        <v>15556284900.000004</v>
      </c>
      <c r="K6" s="30">
        <v>11810105498.823748</v>
      </c>
      <c r="L6" s="30"/>
      <c r="M6" s="30"/>
      <c r="N6" s="30">
        <v>7213885470</v>
      </c>
      <c r="O6" s="30">
        <v>22489871780.000004</v>
      </c>
      <c r="P6" s="30">
        <v>10271406250</v>
      </c>
      <c r="Q6" s="30">
        <v>11810105498.823748</v>
      </c>
    </row>
    <row r="7" spans="1:17" x14ac:dyDescent="0.2">
      <c r="A7" s="30" t="s">
        <v>48</v>
      </c>
      <c r="B7" s="30">
        <v>9572111718.7500038</v>
      </c>
      <c r="C7" s="30">
        <v>25525631250.000008</v>
      </c>
      <c r="D7" s="30">
        <v>15953519531.250006</v>
      </c>
      <c r="E7" s="30">
        <v>11859322106.786528</v>
      </c>
      <c r="F7" s="30"/>
      <c r="G7" s="30"/>
      <c r="H7" s="30">
        <v>10496320401.525002</v>
      </c>
      <c r="I7" s="30">
        <v>33722794421.600002</v>
      </c>
      <c r="J7" s="30">
        <v>16436135817.000006</v>
      </c>
      <c r="K7" s="30">
        <v>11859322106.786528</v>
      </c>
      <c r="L7" s="30"/>
      <c r="M7" s="30"/>
      <c r="N7" s="30">
        <v>7173338870.0999994</v>
      </c>
      <c r="O7" s="30">
        <v>23264525113.400005</v>
      </c>
      <c r="P7" s="30">
        <v>10271406250</v>
      </c>
      <c r="Q7" s="30">
        <v>11859322106.786528</v>
      </c>
    </row>
    <row r="8" spans="1:17" x14ac:dyDescent="0.2">
      <c r="A8" s="30" t="s">
        <v>49</v>
      </c>
      <c r="B8" s="30">
        <v>10050717304.687504</v>
      </c>
      <c r="C8" s="30">
        <v>26801912812.500008</v>
      </c>
      <c r="D8" s="30">
        <v>16751195507.812508</v>
      </c>
      <c r="E8" s="30">
        <v>12826190396.156389</v>
      </c>
      <c r="F8" s="30"/>
      <c r="G8" s="30"/>
      <c r="H8" s="30">
        <v>11267731174.845753</v>
      </c>
      <c r="I8" s="30">
        <v>37546978000.328003</v>
      </c>
      <c r="J8" s="30">
        <v>17368142213.610004</v>
      </c>
      <c r="K8" s="30">
        <v>12826190396.156389</v>
      </c>
      <c r="L8" s="30"/>
      <c r="M8" s="30"/>
      <c r="N8" s="30">
        <v>7145431414.0830002</v>
      </c>
      <c r="O8" s="30">
        <v>24109796077.562004</v>
      </c>
      <c r="P8" s="30">
        <v>10271406250</v>
      </c>
      <c r="Q8" s="30">
        <v>12826190396.156389</v>
      </c>
    </row>
    <row r="9" spans="1:17" x14ac:dyDescent="0.2">
      <c r="A9" s="30" t="s">
        <v>50</v>
      </c>
      <c r="B9" s="30">
        <v>10553253169.921879</v>
      </c>
      <c r="C9" s="30">
        <v>28142008453.125011</v>
      </c>
      <c r="D9" s="30">
        <v>17588755283.203133</v>
      </c>
      <c r="E9" s="30">
        <v>13198153004.780743</v>
      </c>
      <c r="F9" s="30"/>
      <c r="G9" s="30"/>
      <c r="H9" s="30">
        <v>12111477514.549376</v>
      </c>
      <c r="I9" s="30">
        <v>41846050269.10424</v>
      </c>
      <c r="J9" s="30">
        <v>18355564898.511307</v>
      </c>
      <c r="K9" s="30">
        <v>13198153004.780743</v>
      </c>
      <c r="L9" s="30"/>
      <c r="M9" s="30"/>
      <c r="N9" s="30">
        <v>7130380089.8658895</v>
      </c>
      <c r="O9" s="30">
        <v>25031247629.306068</v>
      </c>
      <c r="P9" s="30">
        <v>10271406250</v>
      </c>
      <c r="Q9" s="30">
        <v>13198153004.780743</v>
      </c>
    </row>
    <row r="10" spans="1:17" x14ac:dyDescent="0.2">
      <c r="A10" s="30" t="s">
        <v>51</v>
      </c>
      <c r="B10" s="30">
        <v>11080915828.417973</v>
      </c>
      <c r="C10" s="30">
        <v>29549108875.781265</v>
      </c>
      <c r="D10" s="30">
        <v>18468193047.363289</v>
      </c>
      <c r="E10" s="30">
        <v>13508350438.767811</v>
      </c>
      <c r="F10" s="30"/>
      <c r="G10" s="30"/>
      <c r="H10" s="30">
        <v>13035565679.624205</v>
      </c>
      <c r="I10" s="30">
        <v>46683345423.695076</v>
      </c>
      <c r="J10" s="30">
        <v>19401879963.595337</v>
      </c>
      <c r="K10" s="30">
        <v>13508350438.767811</v>
      </c>
      <c r="L10" s="30"/>
      <c r="M10" s="30"/>
      <c r="N10" s="30">
        <v>7128458951.578599</v>
      </c>
      <c r="O10" s="30">
        <v>26034888626.534264</v>
      </c>
      <c r="P10" s="30">
        <v>10271406250</v>
      </c>
      <c r="Q10" s="30">
        <v>13508350438.767811</v>
      </c>
    </row>
    <row r="11" spans="1:17" x14ac:dyDescent="0.2">
      <c r="A11" s="30" t="s">
        <v>52</v>
      </c>
      <c r="B11" s="30">
        <v>11634961619.838871</v>
      </c>
      <c r="C11" s="30">
        <v>31026564319.570324</v>
      </c>
      <c r="D11" s="30">
        <v>19391602699.731453</v>
      </c>
      <c r="E11" s="30">
        <v>14514453698.632694</v>
      </c>
      <c r="F11" s="30"/>
      <c r="G11" s="30"/>
      <c r="H11" s="30">
        <v>14048994122.0693</v>
      </c>
      <c r="I11" s="30">
        <v>52131065860.612556</v>
      </c>
      <c r="J11" s="30">
        <v>20510793727.546246</v>
      </c>
      <c r="K11" s="30">
        <v>14514453698.632694</v>
      </c>
      <c r="L11" s="30"/>
      <c r="M11" s="30"/>
      <c r="N11" s="30">
        <v>7140001699.5021524</v>
      </c>
      <c r="O11" s="30">
        <v>27127209491.671875</v>
      </c>
      <c r="P11" s="30">
        <v>10271406250</v>
      </c>
      <c r="Q11" s="30">
        <v>14514453698.632694</v>
      </c>
    </row>
    <row r="12" spans="1:17" x14ac:dyDescent="0.2">
      <c r="A12" s="30" t="s">
        <v>53</v>
      </c>
      <c r="B12" s="30">
        <v>12216709700.830814</v>
      </c>
      <c r="C12" s="30">
        <v>32577892535.548843</v>
      </c>
      <c r="D12" s="30">
        <v>20361182834.718025</v>
      </c>
      <c r="E12" s="30">
        <v>15423280484.185982</v>
      </c>
      <c r="F12" s="30"/>
      <c r="G12" s="30"/>
      <c r="H12" s="30">
        <v>15161886179.586252</v>
      </c>
      <c r="I12" s="30">
        <v>58271561852.936714</v>
      </c>
      <c r="J12" s="30">
        <v>21686258760.95639</v>
      </c>
      <c r="K12" s="30">
        <v>15423280484.185982</v>
      </c>
      <c r="L12" s="30"/>
      <c r="M12" s="30"/>
      <c r="N12" s="30">
        <v>7165404565.6697273</v>
      </c>
      <c r="O12" s="30">
        <v>28315220728.270351</v>
      </c>
      <c r="P12" s="30">
        <v>10271406250</v>
      </c>
      <c r="Q12" s="30">
        <v>15423280484.185982</v>
      </c>
    </row>
    <row r="13" spans="1:17" s="43" customFormat="1" x14ac:dyDescent="0.2"/>
    <row r="14" spans="1:17" s="45" customFormat="1" ht="20.25" x14ac:dyDescent="0.3">
      <c r="A14" s="42" t="s">
        <v>59</v>
      </c>
    </row>
    <row r="15" spans="1:17" s="44" customFormat="1" x14ac:dyDescent="0.2">
      <c r="A15" s="40" t="s">
        <v>34</v>
      </c>
      <c r="B15" s="40" t="s">
        <v>8</v>
      </c>
      <c r="C15" s="40" t="s">
        <v>10</v>
      </c>
      <c r="D15" s="40" t="s">
        <v>54</v>
      </c>
      <c r="E15" s="40" t="s">
        <v>9</v>
      </c>
      <c r="F15" s="40"/>
      <c r="G15" s="40" t="s">
        <v>55</v>
      </c>
      <c r="H15" s="40" t="s">
        <v>8</v>
      </c>
      <c r="I15" s="40" t="s">
        <v>10</v>
      </c>
      <c r="J15" s="40" t="s">
        <v>11</v>
      </c>
      <c r="K15" s="40" t="s">
        <v>56</v>
      </c>
      <c r="L15" s="40"/>
      <c r="M15" s="40" t="s">
        <v>57</v>
      </c>
      <c r="N15" s="40" t="s">
        <v>8</v>
      </c>
      <c r="O15" s="40" t="s">
        <v>10</v>
      </c>
      <c r="P15" s="40" t="s">
        <v>11</v>
      </c>
      <c r="Q15" s="40" t="s">
        <v>9</v>
      </c>
    </row>
    <row r="16" spans="1:17" x14ac:dyDescent="0.2">
      <c r="A16" s="30" t="s">
        <v>31</v>
      </c>
      <c r="B16" s="30">
        <v>7560235658.8840485</v>
      </c>
      <c r="C16" s="30">
        <v>21259523801.803589</v>
      </c>
      <c r="D16" s="30">
        <v>12374006989.598274</v>
      </c>
      <c r="E16" s="30">
        <v>10525000000</v>
      </c>
      <c r="F16" s="30"/>
      <c r="G16" s="30"/>
      <c r="H16" s="30">
        <v>8002500000.000001</v>
      </c>
      <c r="I16" s="30">
        <v>22160000000</v>
      </c>
      <c r="J16" s="30">
        <v>13200000000</v>
      </c>
      <c r="K16" s="30">
        <v>10525000000</v>
      </c>
      <c r="L16" s="30"/>
      <c r="M16" s="30"/>
      <c r="N16" s="30">
        <v>7410000000</v>
      </c>
      <c r="O16" s="30">
        <v>20540000000</v>
      </c>
      <c r="P16" s="30">
        <v>10271406250</v>
      </c>
      <c r="Q16" s="30">
        <v>10525000000</v>
      </c>
    </row>
    <row r="17" spans="1:17" x14ac:dyDescent="0.2">
      <c r="A17" s="30" t="s">
        <v>32</v>
      </c>
      <c r="B17" s="30">
        <v>8258459080.6772709</v>
      </c>
      <c r="C17" s="30">
        <v>22099585154.222294</v>
      </c>
      <c r="D17" s="30">
        <v>12676887173.327761</v>
      </c>
      <c r="E17" s="30">
        <v>11209125000</v>
      </c>
      <c r="F17" s="30"/>
      <c r="G17" s="30"/>
      <c r="H17" s="30">
        <v>8548575000</v>
      </c>
      <c r="I17" s="30">
        <v>24576800000</v>
      </c>
      <c r="J17" s="30">
        <v>13941000000</v>
      </c>
      <c r="K17" s="30">
        <v>11209125000</v>
      </c>
      <c r="L17" s="30"/>
      <c r="M17" s="30"/>
      <c r="N17" s="30">
        <v>7332300000</v>
      </c>
      <c r="O17" s="30">
        <v>21132200000</v>
      </c>
      <c r="P17" s="30">
        <v>10271406250</v>
      </c>
      <c r="Q17" s="30">
        <v>11209125000</v>
      </c>
    </row>
    <row r="18" spans="1:17" x14ac:dyDescent="0.2">
      <c r="A18" s="30" t="s">
        <v>33</v>
      </c>
      <c r="B18" s="30">
        <v>8093449895.6638203</v>
      </c>
      <c r="C18" s="30">
        <v>24511598677.16013</v>
      </c>
      <c r="D18" s="30">
        <v>11665565760.342562</v>
      </c>
      <c r="E18" s="30">
        <v>12049809375</v>
      </c>
      <c r="F18" s="30"/>
      <c r="G18" s="30"/>
      <c r="H18" s="30">
        <v>9142757250</v>
      </c>
      <c r="I18" s="30">
        <v>27283544000</v>
      </c>
      <c r="J18" s="30">
        <v>14725530000.000002</v>
      </c>
      <c r="K18" s="30">
        <v>12049809375</v>
      </c>
      <c r="L18" s="30"/>
      <c r="M18" s="30"/>
      <c r="N18" s="30">
        <v>7266909000</v>
      </c>
      <c r="O18" s="30">
        <v>21780686000.000004</v>
      </c>
      <c r="P18" s="30">
        <v>10271406250</v>
      </c>
      <c r="Q18" s="30">
        <v>12049809375</v>
      </c>
    </row>
    <row r="19" spans="1:17" x14ac:dyDescent="0.2">
      <c r="A19" s="30" t="s">
        <v>47</v>
      </c>
      <c r="B19" s="30">
        <v>7753444324.0925503</v>
      </c>
      <c r="C19" s="30">
        <v>23973222533.479805</v>
      </c>
      <c r="D19" s="30">
        <v>11005623307.743614</v>
      </c>
      <c r="E19" s="30">
        <v>12161252495.105579</v>
      </c>
      <c r="F19" s="30"/>
      <c r="G19" s="30"/>
      <c r="H19" s="30">
        <v>9790114717.5000019</v>
      </c>
      <c r="I19" s="30">
        <v>30317917520</v>
      </c>
      <c r="J19" s="30">
        <v>15556284900.000004</v>
      </c>
      <c r="K19" s="30">
        <v>12161252495.105579</v>
      </c>
      <c r="L19" s="30"/>
      <c r="M19" s="30"/>
      <c r="N19" s="30">
        <v>7213885470</v>
      </c>
      <c r="O19" s="30">
        <v>22489871780.000004</v>
      </c>
      <c r="P19" s="30">
        <v>10271406250</v>
      </c>
      <c r="Q19" s="30">
        <v>12161252495.105579</v>
      </c>
    </row>
    <row r="20" spans="1:17" x14ac:dyDescent="0.2">
      <c r="A20" s="30" t="s">
        <v>48</v>
      </c>
      <c r="B20" s="30">
        <v>8062821466.0794306</v>
      </c>
      <c r="C20" s="30">
        <v>30527732318.124065</v>
      </c>
      <c r="D20" s="30">
        <v>12882890817.004929</v>
      </c>
      <c r="E20" s="30">
        <v>12315800399.209023</v>
      </c>
      <c r="F20" s="30"/>
      <c r="G20" s="30"/>
      <c r="H20" s="30">
        <v>10496320401.525002</v>
      </c>
      <c r="I20" s="30">
        <v>33722794421.600002</v>
      </c>
      <c r="J20" s="30">
        <v>16436135817.000006</v>
      </c>
      <c r="K20" s="30">
        <v>12315800399.209023</v>
      </c>
      <c r="L20" s="30"/>
      <c r="M20" s="30"/>
      <c r="N20" s="30">
        <v>7173338870.0999994</v>
      </c>
      <c r="O20" s="30">
        <v>23264525113.400005</v>
      </c>
      <c r="P20" s="30">
        <v>10271406250</v>
      </c>
      <c r="Q20" s="30">
        <v>12315800399.209023</v>
      </c>
    </row>
    <row r="21" spans="1:17" x14ac:dyDescent="0.2">
      <c r="A21" s="30" t="s">
        <v>49</v>
      </c>
      <c r="B21" s="30">
        <v>8056439881.0856476</v>
      </c>
      <c r="C21" s="30">
        <v>34794194767.220139</v>
      </c>
      <c r="D21" s="30">
        <v>11808438800.075882</v>
      </c>
      <c r="E21" s="30">
        <v>13191058906.372496</v>
      </c>
      <c r="F21" s="30"/>
      <c r="G21" s="30"/>
      <c r="H21" s="30">
        <v>11267731174.845753</v>
      </c>
      <c r="I21" s="30">
        <v>37546978000.328003</v>
      </c>
      <c r="J21" s="30">
        <v>17368142213.610004</v>
      </c>
      <c r="K21" s="30">
        <v>13191058906.372496</v>
      </c>
      <c r="L21" s="30"/>
      <c r="M21" s="30"/>
      <c r="N21" s="30">
        <v>7145431414.0830002</v>
      </c>
      <c r="O21" s="30">
        <v>24109796077.562004</v>
      </c>
      <c r="P21" s="30">
        <v>10271406250</v>
      </c>
      <c r="Q21" s="30">
        <v>13191058906.372496</v>
      </c>
    </row>
    <row r="22" spans="1:17" x14ac:dyDescent="0.2">
      <c r="A22" s="30" t="s">
        <v>50</v>
      </c>
      <c r="B22" s="30">
        <v>9133978765.2735119</v>
      </c>
      <c r="C22" s="30">
        <v>38207917877.68927</v>
      </c>
      <c r="D22" s="30">
        <v>14682430437.148571</v>
      </c>
      <c r="E22" s="30">
        <v>13842395757.806549</v>
      </c>
      <c r="F22" s="30"/>
      <c r="G22" s="30"/>
      <c r="H22" s="30">
        <v>12111477514.549376</v>
      </c>
      <c r="I22" s="30">
        <v>41846050269.10424</v>
      </c>
      <c r="J22" s="30">
        <v>18355564898.511307</v>
      </c>
      <c r="K22" s="30">
        <v>13842395757.806549</v>
      </c>
      <c r="L22" s="30"/>
      <c r="M22" s="30"/>
      <c r="N22" s="30">
        <v>7130380089.8658895</v>
      </c>
      <c r="O22" s="30">
        <v>25031247629.306068</v>
      </c>
      <c r="P22" s="30">
        <v>10271406250</v>
      </c>
      <c r="Q22" s="30">
        <v>13842395757.806549</v>
      </c>
    </row>
    <row r="23" spans="1:17" x14ac:dyDescent="0.2">
      <c r="A23" s="30" t="s">
        <v>51</v>
      </c>
      <c r="B23" s="30">
        <v>10892427159.36812</v>
      </c>
      <c r="C23" s="30">
        <v>34499849042.837326</v>
      </c>
      <c r="D23" s="30">
        <v>10950786031.367558</v>
      </c>
      <c r="E23" s="30">
        <v>14707430782.316967</v>
      </c>
      <c r="F23" s="30"/>
      <c r="G23" s="30"/>
      <c r="H23" s="30">
        <v>13035565679.624205</v>
      </c>
      <c r="I23" s="30">
        <v>46683345423.695076</v>
      </c>
      <c r="J23" s="30">
        <v>19401879963.595337</v>
      </c>
      <c r="K23" s="30">
        <v>14707430782.316967</v>
      </c>
      <c r="L23" s="30"/>
      <c r="M23" s="30"/>
      <c r="N23" s="30">
        <v>7128458951.578599</v>
      </c>
      <c r="O23" s="30">
        <v>26034888626.534264</v>
      </c>
      <c r="P23" s="30">
        <v>10271406250</v>
      </c>
      <c r="Q23" s="30">
        <v>14707430782.316967</v>
      </c>
    </row>
    <row r="24" spans="1:17" x14ac:dyDescent="0.2">
      <c r="A24" s="30" t="s">
        <v>52</v>
      </c>
      <c r="B24" s="30">
        <v>9143158608.0759182</v>
      </c>
      <c r="C24" s="30">
        <v>33895874112.288013</v>
      </c>
      <c r="D24" s="30">
        <v>14297906552.679337</v>
      </c>
      <c r="E24" s="30">
        <v>14329714376.190825</v>
      </c>
      <c r="F24" s="30"/>
      <c r="G24" s="30"/>
      <c r="H24" s="30">
        <v>14048994122.0693</v>
      </c>
      <c r="I24" s="30">
        <v>52131065860.612556</v>
      </c>
      <c r="J24" s="30">
        <v>20510793727.546246</v>
      </c>
      <c r="K24" s="30">
        <v>14329714376.190825</v>
      </c>
      <c r="L24" s="30"/>
      <c r="M24" s="30"/>
      <c r="N24" s="30">
        <v>7140001699.5021524</v>
      </c>
      <c r="O24" s="30">
        <v>27127209491.671875</v>
      </c>
      <c r="P24" s="30">
        <v>10271406250</v>
      </c>
      <c r="Q24" s="30">
        <v>14329714376.190825</v>
      </c>
    </row>
    <row r="25" spans="1:17" x14ac:dyDescent="0.2">
      <c r="A25" s="30" t="s">
        <v>53</v>
      </c>
      <c r="B25" s="30">
        <v>11636209120.183355</v>
      </c>
      <c r="C25" s="30">
        <v>45653809853.431519</v>
      </c>
      <c r="D25" s="30">
        <v>14463297014.053223</v>
      </c>
      <c r="E25" s="30">
        <v>16174749428.070328</v>
      </c>
      <c r="F25" s="30"/>
      <c r="G25" s="30"/>
      <c r="H25" s="30">
        <v>15161886179.586252</v>
      </c>
      <c r="I25" s="30">
        <v>58271561852.936714</v>
      </c>
      <c r="J25" s="30">
        <v>21686258760.95639</v>
      </c>
      <c r="K25" s="30">
        <v>16174749428.070328</v>
      </c>
      <c r="L25" s="30"/>
      <c r="M25" s="30"/>
      <c r="N25" s="30">
        <v>7165404565.6697273</v>
      </c>
      <c r="O25" s="30">
        <v>28315220728.270351</v>
      </c>
      <c r="P25" s="30">
        <v>10271406250</v>
      </c>
      <c r="Q25" s="30">
        <v>16174749428.070328</v>
      </c>
    </row>
    <row r="55" spans="1:17" s="40" customFormat="1" x14ac:dyDescent="0.2">
      <c r="A55" s="40" t="s">
        <v>34</v>
      </c>
      <c r="B55" s="40" t="s">
        <v>8</v>
      </c>
      <c r="C55" s="40" t="s">
        <v>10</v>
      </c>
      <c r="D55" s="40" t="s">
        <v>54</v>
      </c>
      <c r="E55" s="40" t="s">
        <v>9</v>
      </c>
      <c r="G55" s="40" t="s">
        <v>55</v>
      </c>
      <c r="H55" s="40" t="s">
        <v>8</v>
      </c>
      <c r="I55" s="40" t="s">
        <v>10</v>
      </c>
      <c r="J55" s="40" t="s">
        <v>11</v>
      </c>
      <c r="K55" s="40" t="s">
        <v>56</v>
      </c>
      <c r="M55" s="40" t="s">
        <v>57</v>
      </c>
      <c r="N55" s="40" t="s">
        <v>8</v>
      </c>
      <c r="O55" s="40" t="s">
        <v>10</v>
      </c>
      <c r="P55" s="40" t="s">
        <v>11</v>
      </c>
      <c r="Q55" s="40" t="s">
        <v>9</v>
      </c>
    </row>
    <row r="56" spans="1:17" x14ac:dyDescent="0.2">
      <c r="B56" s="30">
        <f>B3/1000000</f>
        <v>7875</v>
      </c>
      <c r="C56" s="30">
        <f t="shared" ref="C56:Q56" si="0">C3/1000000</f>
        <v>21000</v>
      </c>
      <c r="D56" s="30">
        <f t="shared" si="0"/>
        <v>13125</v>
      </c>
      <c r="E56" s="30">
        <f t="shared" si="0"/>
        <v>10500</v>
      </c>
      <c r="F56" s="30">
        <f t="shared" si="0"/>
        <v>0</v>
      </c>
      <c r="G56" s="30">
        <f t="shared" si="0"/>
        <v>0</v>
      </c>
      <c r="H56" s="30">
        <f t="shared" si="0"/>
        <v>8002.5000000000009</v>
      </c>
      <c r="I56" s="30">
        <f t="shared" si="0"/>
        <v>22160</v>
      </c>
      <c r="J56" s="30">
        <f t="shared" si="0"/>
        <v>13200</v>
      </c>
      <c r="K56" s="30">
        <f t="shared" si="0"/>
        <v>10500</v>
      </c>
      <c r="L56" s="30">
        <f t="shared" si="0"/>
        <v>0</v>
      </c>
      <c r="M56" s="30">
        <f t="shared" si="0"/>
        <v>0</v>
      </c>
      <c r="N56" s="30">
        <f t="shared" si="0"/>
        <v>7410</v>
      </c>
      <c r="O56" s="30">
        <f t="shared" si="0"/>
        <v>20540</v>
      </c>
      <c r="P56" s="30">
        <f t="shared" si="0"/>
        <v>10271.40625</v>
      </c>
      <c r="Q56" s="30">
        <f t="shared" si="0"/>
        <v>10500</v>
      </c>
    </row>
    <row r="57" spans="1:17" x14ac:dyDescent="0.2">
      <c r="B57" s="30">
        <f t="shared" ref="B57:D78" si="1">B4/1000000</f>
        <v>8268.75</v>
      </c>
      <c r="C57" s="30">
        <f t="shared" si="1"/>
        <v>22050</v>
      </c>
      <c r="D57" s="30">
        <f t="shared" si="1"/>
        <v>13781.25</v>
      </c>
      <c r="E57" s="30">
        <f t="shared" ref="E57:Q57" si="2">E4/1000000</f>
        <v>11025</v>
      </c>
      <c r="F57" s="30">
        <f t="shared" si="2"/>
        <v>0</v>
      </c>
      <c r="G57" s="30">
        <f t="shared" si="2"/>
        <v>0</v>
      </c>
      <c r="H57" s="30">
        <f t="shared" si="2"/>
        <v>8548.5750000000007</v>
      </c>
      <c r="I57" s="30">
        <f t="shared" si="2"/>
        <v>24576.799999999999</v>
      </c>
      <c r="J57" s="30">
        <f t="shared" si="2"/>
        <v>13941</v>
      </c>
      <c r="K57" s="30">
        <f t="shared" si="2"/>
        <v>11025</v>
      </c>
      <c r="L57" s="30">
        <f t="shared" si="2"/>
        <v>0</v>
      </c>
      <c r="M57" s="30">
        <f t="shared" si="2"/>
        <v>0</v>
      </c>
      <c r="N57" s="30">
        <f t="shared" si="2"/>
        <v>7332.3</v>
      </c>
      <c r="O57" s="30">
        <f t="shared" si="2"/>
        <v>21132.2</v>
      </c>
      <c r="P57" s="30">
        <f t="shared" si="2"/>
        <v>10271.40625</v>
      </c>
      <c r="Q57" s="30">
        <f t="shared" si="2"/>
        <v>11025</v>
      </c>
    </row>
    <row r="58" spans="1:17" x14ac:dyDescent="0.2">
      <c r="B58" s="30">
        <f t="shared" si="1"/>
        <v>8682.1875000000018</v>
      </c>
      <c r="C58" s="30">
        <f t="shared" si="1"/>
        <v>23152.500000000004</v>
      </c>
      <c r="D58" s="30">
        <f t="shared" si="1"/>
        <v>14470.312500000004</v>
      </c>
      <c r="E58" s="30">
        <f t="shared" ref="E58:Q58" si="3">E5/1000000</f>
        <v>11576.25</v>
      </c>
      <c r="F58" s="30">
        <f t="shared" si="3"/>
        <v>0</v>
      </c>
      <c r="G58" s="30">
        <f t="shared" si="3"/>
        <v>0</v>
      </c>
      <c r="H58" s="30">
        <f t="shared" si="3"/>
        <v>9142.7572500000006</v>
      </c>
      <c r="I58" s="30">
        <f t="shared" si="3"/>
        <v>27283.544000000002</v>
      </c>
      <c r="J58" s="30">
        <f t="shared" si="3"/>
        <v>14725.530000000002</v>
      </c>
      <c r="K58" s="30">
        <f t="shared" si="3"/>
        <v>11576.25</v>
      </c>
      <c r="L58" s="30">
        <f t="shared" si="3"/>
        <v>0</v>
      </c>
      <c r="M58" s="30">
        <f t="shared" si="3"/>
        <v>0</v>
      </c>
      <c r="N58" s="30">
        <f t="shared" si="3"/>
        <v>7266.9089999999997</v>
      </c>
      <c r="O58" s="30">
        <f t="shared" si="3"/>
        <v>21780.686000000005</v>
      </c>
      <c r="P58" s="30">
        <f t="shared" si="3"/>
        <v>10271.40625</v>
      </c>
      <c r="Q58" s="30">
        <f t="shared" si="3"/>
        <v>11576.25</v>
      </c>
    </row>
    <row r="59" spans="1:17" x14ac:dyDescent="0.2">
      <c r="B59" s="30">
        <f t="shared" si="1"/>
        <v>9116.2968750000018</v>
      </c>
      <c r="C59" s="30">
        <f t="shared" si="1"/>
        <v>24310.125000000007</v>
      </c>
      <c r="D59" s="30">
        <f t="shared" si="1"/>
        <v>15193.828125000004</v>
      </c>
      <c r="E59" s="30">
        <f t="shared" ref="E59:Q59" si="4">E6/1000000</f>
        <v>11810.105498823748</v>
      </c>
      <c r="F59" s="30">
        <f t="shared" si="4"/>
        <v>0</v>
      </c>
      <c r="G59" s="30">
        <f t="shared" si="4"/>
        <v>0</v>
      </c>
      <c r="H59" s="30">
        <f t="shared" si="4"/>
        <v>9790.1147175000024</v>
      </c>
      <c r="I59" s="30">
        <f t="shared" si="4"/>
        <v>30317.917519999999</v>
      </c>
      <c r="J59" s="30">
        <f t="shared" si="4"/>
        <v>15556.284900000004</v>
      </c>
      <c r="K59" s="30">
        <f t="shared" si="4"/>
        <v>11810.105498823748</v>
      </c>
      <c r="L59" s="30">
        <f t="shared" si="4"/>
        <v>0</v>
      </c>
      <c r="M59" s="30">
        <f t="shared" si="4"/>
        <v>0</v>
      </c>
      <c r="N59" s="30">
        <f t="shared" si="4"/>
        <v>7213.8854700000002</v>
      </c>
      <c r="O59" s="30">
        <f t="shared" si="4"/>
        <v>22489.871780000005</v>
      </c>
      <c r="P59" s="30">
        <f t="shared" si="4"/>
        <v>10271.40625</v>
      </c>
      <c r="Q59" s="30">
        <f t="shared" si="4"/>
        <v>11810.105498823748</v>
      </c>
    </row>
    <row r="60" spans="1:17" x14ac:dyDescent="0.2">
      <c r="B60" s="30">
        <f t="shared" si="1"/>
        <v>9572.111718750004</v>
      </c>
      <c r="C60" s="30">
        <f t="shared" si="1"/>
        <v>25525.631250000006</v>
      </c>
      <c r="D60" s="30">
        <f t="shared" si="1"/>
        <v>15953.519531250005</v>
      </c>
      <c r="E60" s="30">
        <f t="shared" ref="E60:Q60" si="5">E7/1000000</f>
        <v>11859.322106786527</v>
      </c>
      <c r="F60" s="30">
        <f t="shared" si="5"/>
        <v>0</v>
      </c>
      <c r="G60" s="30">
        <f t="shared" si="5"/>
        <v>0</v>
      </c>
      <c r="H60" s="30">
        <f t="shared" si="5"/>
        <v>10496.320401525001</v>
      </c>
      <c r="I60" s="30">
        <f t="shared" si="5"/>
        <v>33722.794421600003</v>
      </c>
      <c r="J60" s="30">
        <f t="shared" si="5"/>
        <v>16436.135817000006</v>
      </c>
      <c r="K60" s="30">
        <f t="shared" si="5"/>
        <v>11859.322106786527</v>
      </c>
      <c r="L60" s="30">
        <f t="shared" si="5"/>
        <v>0</v>
      </c>
      <c r="M60" s="30">
        <f t="shared" si="5"/>
        <v>0</v>
      </c>
      <c r="N60" s="30">
        <f t="shared" si="5"/>
        <v>7173.3388700999994</v>
      </c>
      <c r="O60" s="30">
        <f t="shared" si="5"/>
        <v>23264.525113400006</v>
      </c>
      <c r="P60" s="30">
        <f t="shared" si="5"/>
        <v>10271.40625</v>
      </c>
      <c r="Q60" s="30">
        <f t="shared" si="5"/>
        <v>11859.322106786527</v>
      </c>
    </row>
    <row r="61" spans="1:17" x14ac:dyDescent="0.2">
      <c r="B61" s="30">
        <f t="shared" si="1"/>
        <v>10050.717304687503</v>
      </c>
      <c r="C61" s="30">
        <f t="shared" si="1"/>
        <v>26801.912812500006</v>
      </c>
      <c r="D61" s="30">
        <f t="shared" si="1"/>
        <v>16751.195507812507</v>
      </c>
      <c r="E61" s="30">
        <f t="shared" ref="E61:Q61" si="6">E8/1000000</f>
        <v>12826.190396156389</v>
      </c>
      <c r="F61" s="30">
        <f t="shared" si="6"/>
        <v>0</v>
      </c>
      <c r="G61" s="30">
        <f t="shared" si="6"/>
        <v>0</v>
      </c>
      <c r="H61" s="30">
        <f t="shared" si="6"/>
        <v>11267.731174845752</v>
      </c>
      <c r="I61" s="30">
        <f t="shared" si="6"/>
        <v>37546.978000328003</v>
      </c>
      <c r="J61" s="30">
        <f t="shared" si="6"/>
        <v>17368.142213610005</v>
      </c>
      <c r="K61" s="30">
        <f t="shared" si="6"/>
        <v>12826.190396156389</v>
      </c>
      <c r="L61" s="30">
        <f t="shared" si="6"/>
        <v>0</v>
      </c>
      <c r="M61" s="30">
        <f t="shared" si="6"/>
        <v>0</v>
      </c>
      <c r="N61" s="30">
        <f t="shared" si="6"/>
        <v>7145.4314140830002</v>
      </c>
      <c r="O61" s="30">
        <f t="shared" si="6"/>
        <v>24109.796077562005</v>
      </c>
      <c r="P61" s="30">
        <f t="shared" si="6"/>
        <v>10271.40625</v>
      </c>
      <c r="Q61" s="30">
        <f t="shared" si="6"/>
        <v>12826.190396156389</v>
      </c>
    </row>
    <row r="62" spans="1:17" x14ac:dyDescent="0.2">
      <c r="B62" s="30">
        <f t="shared" si="1"/>
        <v>10553.253169921878</v>
      </c>
      <c r="C62" s="30">
        <f t="shared" si="1"/>
        <v>28142.00845312501</v>
      </c>
      <c r="D62" s="30">
        <f t="shared" si="1"/>
        <v>17588.755283203132</v>
      </c>
      <c r="E62" s="30">
        <f t="shared" ref="E62:Q62" si="7">E9/1000000</f>
        <v>13198.153004780743</v>
      </c>
      <c r="F62" s="30">
        <f t="shared" si="7"/>
        <v>0</v>
      </c>
      <c r="G62" s="30">
        <f t="shared" si="7"/>
        <v>0</v>
      </c>
      <c r="H62" s="30">
        <f t="shared" si="7"/>
        <v>12111.477514549375</v>
      </c>
      <c r="I62" s="30">
        <f t="shared" si="7"/>
        <v>41846.050269104242</v>
      </c>
      <c r="J62" s="30">
        <f t="shared" si="7"/>
        <v>18355.564898511308</v>
      </c>
      <c r="K62" s="30">
        <f t="shared" si="7"/>
        <v>13198.153004780743</v>
      </c>
      <c r="L62" s="30">
        <f t="shared" si="7"/>
        <v>0</v>
      </c>
      <c r="M62" s="30">
        <f t="shared" si="7"/>
        <v>0</v>
      </c>
      <c r="N62" s="30">
        <f t="shared" si="7"/>
        <v>7130.3800898658892</v>
      </c>
      <c r="O62" s="30">
        <f t="shared" si="7"/>
        <v>25031.247629306068</v>
      </c>
      <c r="P62" s="30">
        <f t="shared" si="7"/>
        <v>10271.40625</v>
      </c>
      <c r="Q62" s="30">
        <f t="shared" si="7"/>
        <v>13198.153004780743</v>
      </c>
    </row>
    <row r="63" spans="1:17" x14ac:dyDescent="0.2">
      <c r="B63" s="30">
        <f t="shared" si="1"/>
        <v>11080.915828417972</v>
      </c>
      <c r="C63" s="30">
        <f t="shared" si="1"/>
        <v>29549.108875781265</v>
      </c>
      <c r="D63" s="30">
        <f t="shared" si="1"/>
        <v>18468.193047363289</v>
      </c>
      <c r="E63" s="30">
        <f t="shared" ref="E63:Q63" si="8">E10/1000000</f>
        <v>13508.350438767811</v>
      </c>
      <c r="F63" s="30">
        <f t="shared" si="8"/>
        <v>0</v>
      </c>
      <c r="G63" s="30">
        <f t="shared" si="8"/>
        <v>0</v>
      </c>
      <c r="H63" s="30">
        <f t="shared" si="8"/>
        <v>13035.565679624204</v>
      </c>
      <c r="I63" s="30">
        <f t="shared" si="8"/>
        <v>46683.345423695078</v>
      </c>
      <c r="J63" s="30">
        <f t="shared" si="8"/>
        <v>19401.879963595336</v>
      </c>
      <c r="K63" s="30">
        <f t="shared" si="8"/>
        <v>13508.350438767811</v>
      </c>
      <c r="L63" s="30">
        <f t="shared" si="8"/>
        <v>0</v>
      </c>
      <c r="M63" s="30">
        <f t="shared" si="8"/>
        <v>0</v>
      </c>
      <c r="N63" s="30">
        <f t="shared" si="8"/>
        <v>7128.4589515785992</v>
      </c>
      <c r="O63" s="30">
        <f t="shared" si="8"/>
        <v>26034.888626534263</v>
      </c>
      <c r="P63" s="30">
        <f t="shared" si="8"/>
        <v>10271.40625</v>
      </c>
      <c r="Q63" s="30">
        <f t="shared" si="8"/>
        <v>13508.350438767811</v>
      </c>
    </row>
    <row r="64" spans="1:17" x14ac:dyDescent="0.2">
      <c r="B64" s="30">
        <f t="shared" si="1"/>
        <v>11634.96161983887</v>
      </c>
      <c r="C64" s="30">
        <f t="shared" si="1"/>
        <v>31026.564319570323</v>
      </c>
      <c r="D64" s="30">
        <f t="shared" si="1"/>
        <v>19391.602699731451</v>
      </c>
      <c r="E64" s="30">
        <f t="shared" ref="E64:Q64" si="9">E11/1000000</f>
        <v>14514.453698632695</v>
      </c>
      <c r="F64" s="30">
        <f t="shared" si="9"/>
        <v>0</v>
      </c>
      <c r="G64" s="30">
        <f t="shared" si="9"/>
        <v>0</v>
      </c>
      <c r="H64" s="30">
        <f t="shared" si="9"/>
        <v>14048.9941220693</v>
      </c>
      <c r="I64" s="30">
        <f t="shared" si="9"/>
        <v>52131.065860612558</v>
      </c>
      <c r="J64" s="30">
        <f t="shared" si="9"/>
        <v>20510.793727546246</v>
      </c>
      <c r="K64" s="30">
        <f t="shared" si="9"/>
        <v>14514.453698632695</v>
      </c>
      <c r="L64" s="30">
        <f t="shared" si="9"/>
        <v>0</v>
      </c>
      <c r="M64" s="30">
        <f t="shared" si="9"/>
        <v>0</v>
      </c>
      <c r="N64" s="30">
        <f t="shared" si="9"/>
        <v>7140.0016995021524</v>
      </c>
      <c r="O64" s="30">
        <f t="shared" si="9"/>
        <v>27127.209491671874</v>
      </c>
      <c r="P64" s="30">
        <f t="shared" si="9"/>
        <v>10271.40625</v>
      </c>
      <c r="Q64" s="30">
        <f t="shared" si="9"/>
        <v>14514.453698632695</v>
      </c>
    </row>
    <row r="65" spans="1:17" x14ac:dyDescent="0.2">
      <c r="B65" s="30">
        <f t="shared" si="1"/>
        <v>12216.709700830814</v>
      </c>
      <c r="C65" s="30">
        <f t="shared" si="1"/>
        <v>32577.892535548843</v>
      </c>
      <c r="D65" s="30">
        <f t="shared" si="1"/>
        <v>20361.182834718024</v>
      </c>
      <c r="E65" s="30">
        <f t="shared" ref="E65:Q65" si="10">E12/1000000</f>
        <v>15423.280484185982</v>
      </c>
      <c r="F65" s="30">
        <f t="shared" si="10"/>
        <v>0</v>
      </c>
      <c r="G65" s="30">
        <f t="shared" si="10"/>
        <v>0</v>
      </c>
      <c r="H65" s="30">
        <f t="shared" si="10"/>
        <v>15161.886179586252</v>
      </c>
      <c r="I65" s="30">
        <f t="shared" si="10"/>
        <v>58271.561852936713</v>
      </c>
      <c r="J65" s="30">
        <f t="shared" si="10"/>
        <v>21686.258760956389</v>
      </c>
      <c r="K65" s="30">
        <f t="shared" si="10"/>
        <v>15423.280484185982</v>
      </c>
      <c r="L65" s="30">
        <f t="shared" si="10"/>
        <v>0</v>
      </c>
      <c r="M65" s="30">
        <f t="shared" si="10"/>
        <v>0</v>
      </c>
      <c r="N65" s="30">
        <f t="shared" si="10"/>
        <v>7165.4045656697272</v>
      </c>
      <c r="O65" s="30">
        <f t="shared" si="10"/>
        <v>28315.220728270353</v>
      </c>
      <c r="P65" s="30">
        <f t="shared" si="10"/>
        <v>10271.40625</v>
      </c>
      <c r="Q65" s="30">
        <f t="shared" si="10"/>
        <v>15423.280484185982</v>
      </c>
    </row>
    <row r="66" spans="1:17" x14ac:dyDescent="0.2">
      <c r="B66" s="30">
        <f t="shared" si="1"/>
        <v>0</v>
      </c>
      <c r="E66" s="30">
        <f t="shared" ref="E66:Q66" si="11">E13/1000000</f>
        <v>0</v>
      </c>
      <c r="F66" s="30">
        <f t="shared" si="11"/>
        <v>0</v>
      </c>
      <c r="G66" s="30">
        <f t="shared" si="11"/>
        <v>0</v>
      </c>
      <c r="H66" s="30">
        <f t="shared" si="11"/>
        <v>0</v>
      </c>
      <c r="I66" s="30">
        <f t="shared" si="11"/>
        <v>0</v>
      </c>
      <c r="J66" s="30">
        <f t="shared" si="11"/>
        <v>0</v>
      </c>
      <c r="K66" s="30">
        <f t="shared" si="11"/>
        <v>0</v>
      </c>
      <c r="L66" s="30">
        <f t="shared" si="11"/>
        <v>0</v>
      </c>
      <c r="M66" s="30">
        <f t="shared" si="11"/>
        <v>0</v>
      </c>
      <c r="N66" s="30">
        <f t="shared" si="11"/>
        <v>0</v>
      </c>
      <c r="O66" s="30">
        <f t="shared" si="11"/>
        <v>0</v>
      </c>
      <c r="P66" s="30">
        <f t="shared" si="11"/>
        <v>0</v>
      </c>
      <c r="Q66" s="30">
        <f t="shared" si="11"/>
        <v>0</v>
      </c>
    </row>
    <row r="67" spans="1:17" x14ac:dyDescent="0.2">
      <c r="B67" s="30">
        <f t="shared" si="1"/>
        <v>0</v>
      </c>
      <c r="E67" s="30">
        <f t="shared" ref="E67:Q67" si="12">E14/1000000</f>
        <v>0</v>
      </c>
      <c r="F67" s="30">
        <f t="shared" si="12"/>
        <v>0</v>
      </c>
      <c r="G67" s="30">
        <f t="shared" si="12"/>
        <v>0</v>
      </c>
      <c r="H67" s="30">
        <f t="shared" si="12"/>
        <v>0</v>
      </c>
      <c r="I67" s="30">
        <f t="shared" si="12"/>
        <v>0</v>
      </c>
      <c r="J67" s="30">
        <f t="shared" si="12"/>
        <v>0</v>
      </c>
      <c r="K67" s="30">
        <f t="shared" si="12"/>
        <v>0</v>
      </c>
      <c r="L67" s="30">
        <f t="shared" si="12"/>
        <v>0</v>
      </c>
      <c r="M67" s="30">
        <f t="shared" si="12"/>
        <v>0</v>
      </c>
      <c r="N67" s="30">
        <f t="shared" si="12"/>
        <v>0</v>
      </c>
      <c r="O67" s="30">
        <f t="shared" si="12"/>
        <v>0</v>
      </c>
      <c r="P67" s="30">
        <f t="shared" si="12"/>
        <v>0</v>
      </c>
      <c r="Q67" s="30">
        <f t="shared" si="12"/>
        <v>0</v>
      </c>
    </row>
    <row r="68" spans="1:17" s="44" customFormat="1" x14ac:dyDescent="0.2">
      <c r="A68" s="40" t="s">
        <v>34</v>
      </c>
      <c r="B68" s="40" t="s">
        <v>8</v>
      </c>
      <c r="C68" s="40" t="s">
        <v>10</v>
      </c>
      <c r="D68" s="40" t="s">
        <v>54</v>
      </c>
      <c r="E68" s="40" t="s">
        <v>9</v>
      </c>
      <c r="F68" s="40"/>
      <c r="G68" s="40" t="s">
        <v>55</v>
      </c>
      <c r="H68" s="40" t="s">
        <v>8</v>
      </c>
      <c r="I68" s="40" t="s">
        <v>10</v>
      </c>
      <c r="J68" s="40" t="s">
        <v>11</v>
      </c>
      <c r="K68" s="40" t="s">
        <v>56</v>
      </c>
      <c r="L68" s="40"/>
      <c r="M68" s="40" t="s">
        <v>57</v>
      </c>
      <c r="N68" s="40" t="s">
        <v>8</v>
      </c>
      <c r="O68" s="40" t="s">
        <v>10</v>
      </c>
      <c r="P68" s="40" t="s">
        <v>11</v>
      </c>
      <c r="Q68" s="40" t="s">
        <v>9</v>
      </c>
    </row>
    <row r="69" spans="1:17" x14ac:dyDescent="0.2">
      <c r="B69" s="30">
        <f t="shared" si="1"/>
        <v>7560.2356588840485</v>
      </c>
      <c r="C69" s="30">
        <f t="shared" si="1"/>
        <v>21259.523801803589</v>
      </c>
      <c r="D69" s="30">
        <f t="shared" ref="D69" si="13">D16/1000000</f>
        <v>12374.006989598274</v>
      </c>
      <c r="E69" s="30">
        <f t="shared" ref="E69:Q69" si="14">E16/1000000</f>
        <v>10525</v>
      </c>
      <c r="F69" s="30">
        <f t="shared" si="14"/>
        <v>0</v>
      </c>
      <c r="G69" s="30">
        <f t="shared" si="14"/>
        <v>0</v>
      </c>
      <c r="H69" s="30">
        <f t="shared" si="14"/>
        <v>8002.5000000000009</v>
      </c>
      <c r="I69" s="30">
        <f t="shared" si="14"/>
        <v>22160</v>
      </c>
      <c r="J69" s="30">
        <f t="shared" si="14"/>
        <v>13200</v>
      </c>
      <c r="K69" s="30">
        <f t="shared" si="14"/>
        <v>10525</v>
      </c>
      <c r="L69" s="30">
        <f t="shared" si="14"/>
        <v>0</v>
      </c>
      <c r="M69" s="30">
        <f t="shared" si="14"/>
        <v>0</v>
      </c>
      <c r="N69" s="30">
        <f t="shared" si="14"/>
        <v>7410</v>
      </c>
      <c r="O69" s="30">
        <f t="shared" si="14"/>
        <v>20540</v>
      </c>
      <c r="P69" s="30">
        <f t="shared" si="14"/>
        <v>10271.40625</v>
      </c>
      <c r="Q69" s="30">
        <f t="shared" si="14"/>
        <v>10525</v>
      </c>
    </row>
    <row r="70" spans="1:17" x14ac:dyDescent="0.2">
      <c r="B70" s="30">
        <f t="shared" si="1"/>
        <v>8258.4590806772703</v>
      </c>
      <c r="C70" s="30">
        <f t="shared" ref="C70:D70" si="15">C17/1000000</f>
        <v>22099.585154222295</v>
      </c>
      <c r="D70" s="30">
        <f t="shared" si="15"/>
        <v>12676.887173327761</v>
      </c>
      <c r="E70" s="30">
        <f t="shared" ref="E70:Q70" si="16">E17/1000000</f>
        <v>11209.125</v>
      </c>
      <c r="F70" s="30">
        <f t="shared" si="16"/>
        <v>0</v>
      </c>
      <c r="G70" s="30">
        <f t="shared" si="16"/>
        <v>0</v>
      </c>
      <c r="H70" s="30">
        <f t="shared" si="16"/>
        <v>8548.5750000000007</v>
      </c>
      <c r="I70" s="30">
        <f t="shared" si="16"/>
        <v>24576.799999999999</v>
      </c>
      <c r="J70" s="30">
        <f t="shared" si="16"/>
        <v>13941</v>
      </c>
      <c r="K70" s="30">
        <f t="shared" si="16"/>
        <v>11209.125</v>
      </c>
      <c r="L70" s="30">
        <f t="shared" si="16"/>
        <v>0</v>
      </c>
      <c r="M70" s="30">
        <f t="shared" si="16"/>
        <v>0</v>
      </c>
      <c r="N70" s="30">
        <f t="shared" si="16"/>
        <v>7332.3</v>
      </c>
      <c r="O70" s="30">
        <f t="shared" si="16"/>
        <v>21132.2</v>
      </c>
      <c r="P70" s="30">
        <f t="shared" si="16"/>
        <v>10271.40625</v>
      </c>
      <c r="Q70" s="30">
        <f t="shared" si="16"/>
        <v>11209.125</v>
      </c>
    </row>
    <row r="71" spans="1:17" x14ac:dyDescent="0.2">
      <c r="B71" s="30">
        <f t="shared" si="1"/>
        <v>8093.4498956638199</v>
      </c>
      <c r="C71" s="30">
        <f t="shared" ref="C71:D71" si="17">C18/1000000</f>
        <v>24511.598677160131</v>
      </c>
      <c r="D71" s="30">
        <f t="shared" si="17"/>
        <v>11665.565760342562</v>
      </c>
      <c r="E71" s="30">
        <f t="shared" ref="E71:Q71" si="18">E18/1000000</f>
        <v>12049.809375000001</v>
      </c>
      <c r="F71" s="30">
        <f t="shared" si="18"/>
        <v>0</v>
      </c>
      <c r="G71" s="30">
        <f t="shared" si="18"/>
        <v>0</v>
      </c>
      <c r="H71" s="30">
        <f t="shared" si="18"/>
        <v>9142.7572500000006</v>
      </c>
      <c r="I71" s="30">
        <f t="shared" si="18"/>
        <v>27283.544000000002</v>
      </c>
      <c r="J71" s="30">
        <f t="shared" si="18"/>
        <v>14725.530000000002</v>
      </c>
      <c r="K71" s="30">
        <f t="shared" si="18"/>
        <v>12049.809375000001</v>
      </c>
      <c r="L71" s="30">
        <f t="shared" si="18"/>
        <v>0</v>
      </c>
      <c r="M71" s="30">
        <f t="shared" si="18"/>
        <v>0</v>
      </c>
      <c r="N71" s="30">
        <f t="shared" si="18"/>
        <v>7266.9089999999997</v>
      </c>
      <c r="O71" s="30">
        <f t="shared" si="18"/>
        <v>21780.686000000005</v>
      </c>
      <c r="P71" s="30">
        <f t="shared" si="18"/>
        <v>10271.40625</v>
      </c>
      <c r="Q71" s="30">
        <f t="shared" si="18"/>
        <v>12049.809375000001</v>
      </c>
    </row>
    <row r="72" spans="1:17" x14ac:dyDescent="0.2">
      <c r="B72" s="30">
        <f t="shared" si="1"/>
        <v>7753.4443240925502</v>
      </c>
      <c r="C72" s="30">
        <f t="shared" ref="C72:D72" si="19">C19/1000000</f>
        <v>23973.222533479806</v>
      </c>
      <c r="D72" s="30">
        <f t="shared" si="19"/>
        <v>11005.623307743614</v>
      </c>
      <c r="E72" s="30">
        <f t="shared" ref="E72:Q72" si="20">E19/1000000</f>
        <v>12161.25249510558</v>
      </c>
      <c r="F72" s="30">
        <f t="shared" si="20"/>
        <v>0</v>
      </c>
      <c r="G72" s="30">
        <f t="shared" si="20"/>
        <v>0</v>
      </c>
      <c r="H72" s="30">
        <f t="shared" si="20"/>
        <v>9790.1147175000024</v>
      </c>
      <c r="I72" s="30">
        <f t="shared" si="20"/>
        <v>30317.917519999999</v>
      </c>
      <c r="J72" s="30">
        <f t="shared" si="20"/>
        <v>15556.284900000004</v>
      </c>
      <c r="K72" s="30">
        <f t="shared" si="20"/>
        <v>12161.25249510558</v>
      </c>
      <c r="L72" s="30">
        <f t="shared" si="20"/>
        <v>0</v>
      </c>
      <c r="M72" s="30">
        <f t="shared" si="20"/>
        <v>0</v>
      </c>
      <c r="N72" s="30">
        <f t="shared" si="20"/>
        <v>7213.8854700000002</v>
      </c>
      <c r="O72" s="30">
        <f t="shared" si="20"/>
        <v>22489.871780000005</v>
      </c>
      <c r="P72" s="30">
        <f t="shared" si="20"/>
        <v>10271.40625</v>
      </c>
      <c r="Q72" s="30">
        <f t="shared" si="20"/>
        <v>12161.25249510558</v>
      </c>
    </row>
    <row r="73" spans="1:17" x14ac:dyDescent="0.2">
      <c r="B73" s="30">
        <f t="shared" si="1"/>
        <v>8062.8214660794301</v>
      </c>
      <c r="C73" s="30">
        <f t="shared" ref="C73:D73" si="21">C20/1000000</f>
        <v>30527.732318124064</v>
      </c>
      <c r="D73" s="30">
        <f t="shared" si="21"/>
        <v>12882.890817004929</v>
      </c>
      <c r="E73" s="30">
        <f t="shared" ref="E73:Q73" si="22">E20/1000000</f>
        <v>12315.800399209022</v>
      </c>
      <c r="F73" s="30">
        <f t="shared" si="22"/>
        <v>0</v>
      </c>
      <c r="G73" s="30">
        <f t="shared" si="22"/>
        <v>0</v>
      </c>
      <c r="H73" s="30">
        <f t="shared" si="22"/>
        <v>10496.320401525001</v>
      </c>
      <c r="I73" s="30">
        <f t="shared" si="22"/>
        <v>33722.794421600003</v>
      </c>
      <c r="J73" s="30">
        <f t="shared" si="22"/>
        <v>16436.135817000006</v>
      </c>
      <c r="K73" s="30">
        <f t="shared" si="22"/>
        <v>12315.800399209022</v>
      </c>
      <c r="L73" s="30">
        <f t="shared" si="22"/>
        <v>0</v>
      </c>
      <c r="M73" s="30">
        <f t="shared" si="22"/>
        <v>0</v>
      </c>
      <c r="N73" s="30">
        <f t="shared" si="22"/>
        <v>7173.3388700999994</v>
      </c>
      <c r="O73" s="30">
        <f t="shared" si="22"/>
        <v>23264.525113400006</v>
      </c>
      <c r="P73" s="30">
        <f t="shared" si="22"/>
        <v>10271.40625</v>
      </c>
      <c r="Q73" s="30">
        <f t="shared" si="22"/>
        <v>12315.800399209022</v>
      </c>
    </row>
    <row r="74" spans="1:17" x14ac:dyDescent="0.2">
      <c r="B74" s="30">
        <f t="shared" si="1"/>
        <v>8056.4398810856474</v>
      </c>
      <c r="C74" s="30">
        <f t="shared" ref="C74:D74" si="23">C21/1000000</f>
        <v>34794.194767220135</v>
      </c>
      <c r="D74" s="30">
        <f t="shared" si="23"/>
        <v>11808.438800075883</v>
      </c>
      <c r="E74" s="30">
        <f t="shared" ref="E74:Q74" si="24">E21/1000000</f>
        <v>13191.058906372496</v>
      </c>
      <c r="F74" s="30">
        <f t="shared" si="24"/>
        <v>0</v>
      </c>
      <c r="G74" s="30">
        <f t="shared" si="24"/>
        <v>0</v>
      </c>
      <c r="H74" s="30">
        <f t="shared" si="24"/>
        <v>11267.731174845752</v>
      </c>
      <c r="I74" s="30">
        <f t="shared" si="24"/>
        <v>37546.978000328003</v>
      </c>
      <c r="J74" s="30">
        <f t="shared" si="24"/>
        <v>17368.142213610005</v>
      </c>
      <c r="K74" s="30">
        <f t="shared" si="24"/>
        <v>13191.058906372496</v>
      </c>
      <c r="L74" s="30">
        <f t="shared" si="24"/>
        <v>0</v>
      </c>
      <c r="M74" s="30">
        <f t="shared" si="24"/>
        <v>0</v>
      </c>
      <c r="N74" s="30">
        <f t="shared" si="24"/>
        <v>7145.4314140830002</v>
      </c>
      <c r="O74" s="30">
        <f t="shared" si="24"/>
        <v>24109.796077562005</v>
      </c>
      <c r="P74" s="30">
        <f t="shared" si="24"/>
        <v>10271.40625</v>
      </c>
      <c r="Q74" s="30">
        <f t="shared" si="24"/>
        <v>13191.058906372496</v>
      </c>
    </row>
    <row r="75" spans="1:17" x14ac:dyDescent="0.2">
      <c r="B75" s="30">
        <f t="shared" si="1"/>
        <v>9133.9787652735122</v>
      </c>
      <c r="C75" s="30">
        <f t="shared" ref="C75:D75" si="25">C22/1000000</f>
        <v>38207.917877689273</v>
      </c>
      <c r="D75" s="30">
        <f t="shared" si="25"/>
        <v>14682.43043714857</v>
      </c>
      <c r="E75" s="30">
        <f t="shared" ref="E75:Q75" si="26">E22/1000000</f>
        <v>13842.395757806549</v>
      </c>
      <c r="F75" s="30">
        <f t="shared" si="26"/>
        <v>0</v>
      </c>
      <c r="G75" s="30">
        <f t="shared" si="26"/>
        <v>0</v>
      </c>
      <c r="H75" s="30">
        <f t="shared" si="26"/>
        <v>12111.477514549375</v>
      </c>
      <c r="I75" s="30">
        <f t="shared" si="26"/>
        <v>41846.050269104242</v>
      </c>
      <c r="J75" s="30">
        <f t="shared" si="26"/>
        <v>18355.564898511308</v>
      </c>
      <c r="K75" s="30">
        <f t="shared" si="26"/>
        <v>13842.395757806549</v>
      </c>
      <c r="L75" s="30">
        <f t="shared" si="26"/>
        <v>0</v>
      </c>
      <c r="M75" s="30">
        <f t="shared" si="26"/>
        <v>0</v>
      </c>
      <c r="N75" s="30">
        <f t="shared" si="26"/>
        <v>7130.3800898658892</v>
      </c>
      <c r="O75" s="30">
        <f t="shared" si="26"/>
        <v>25031.247629306068</v>
      </c>
      <c r="P75" s="30">
        <f t="shared" si="26"/>
        <v>10271.40625</v>
      </c>
      <c r="Q75" s="30">
        <f t="shared" si="26"/>
        <v>13842.395757806549</v>
      </c>
    </row>
    <row r="76" spans="1:17" x14ac:dyDescent="0.2">
      <c r="B76" s="30">
        <f t="shared" si="1"/>
        <v>10892.427159368121</v>
      </c>
      <c r="C76" s="30">
        <f t="shared" ref="C76:D76" si="27">C23/1000000</f>
        <v>34499.849042837326</v>
      </c>
      <c r="D76" s="30">
        <f t="shared" si="27"/>
        <v>10950.786031367557</v>
      </c>
      <c r="E76" s="30">
        <f t="shared" ref="E76:Q76" si="28">E23/1000000</f>
        <v>14707.430782316967</v>
      </c>
      <c r="F76" s="30">
        <f t="shared" si="28"/>
        <v>0</v>
      </c>
      <c r="G76" s="30">
        <f t="shared" si="28"/>
        <v>0</v>
      </c>
      <c r="H76" s="30">
        <f t="shared" si="28"/>
        <v>13035.565679624204</v>
      </c>
      <c r="I76" s="30">
        <f t="shared" si="28"/>
        <v>46683.345423695078</v>
      </c>
      <c r="J76" s="30">
        <f t="shared" si="28"/>
        <v>19401.879963595336</v>
      </c>
      <c r="K76" s="30">
        <f t="shared" si="28"/>
        <v>14707.430782316967</v>
      </c>
      <c r="L76" s="30">
        <f t="shared" si="28"/>
        <v>0</v>
      </c>
      <c r="M76" s="30">
        <f t="shared" si="28"/>
        <v>0</v>
      </c>
      <c r="N76" s="30">
        <f t="shared" si="28"/>
        <v>7128.4589515785992</v>
      </c>
      <c r="O76" s="30">
        <f t="shared" si="28"/>
        <v>26034.888626534263</v>
      </c>
      <c r="P76" s="30">
        <f t="shared" si="28"/>
        <v>10271.40625</v>
      </c>
      <c r="Q76" s="30">
        <f t="shared" si="28"/>
        <v>14707.430782316967</v>
      </c>
    </row>
    <row r="77" spans="1:17" x14ac:dyDescent="0.2">
      <c r="B77" s="30">
        <f t="shared" si="1"/>
        <v>9143.1586080759189</v>
      </c>
      <c r="C77" s="30">
        <f t="shared" ref="C77:D77" si="29">C24/1000000</f>
        <v>33895.874112288016</v>
      </c>
      <c r="D77" s="30">
        <f t="shared" si="29"/>
        <v>14297.906552679337</v>
      </c>
      <c r="E77" s="30">
        <f t="shared" ref="E77:Q77" si="30">E24/1000000</f>
        <v>14329.714376190825</v>
      </c>
      <c r="F77" s="30">
        <f t="shared" si="30"/>
        <v>0</v>
      </c>
      <c r="G77" s="30">
        <f t="shared" si="30"/>
        <v>0</v>
      </c>
      <c r="H77" s="30">
        <f t="shared" si="30"/>
        <v>14048.9941220693</v>
      </c>
      <c r="I77" s="30">
        <f t="shared" si="30"/>
        <v>52131.065860612558</v>
      </c>
      <c r="J77" s="30">
        <f t="shared" si="30"/>
        <v>20510.793727546246</v>
      </c>
      <c r="K77" s="30">
        <f t="shared" si="30"/>
        <v>14329.714376190825</v>
      </c>
      <c r="L77" s="30">
        <f t="shared" si="30"/>
        <v>0</v>
      </c>
      <c r="M77" s="30">
        <f t="shared" si="30"/>
        <v>0</v>
      </c>
      <c r="N77" s="30">
        <f t="shared" si="30"/>
        <v>7140.0016995021524</v>
      </c>
      <c r="O77" s="30">
        <f t="shared" si="30"/>
        <v>27127.209491671874</v>
      </c>
      <c r="P77" s="30">
        <f t="shared" si="30"/>
        <v>10271.40625</v>
      </c>
      <c r="Q77" s="30">
        <f t="shared" si="30"/>
        <v>14329.714376190825</v>
      </c>
    </row>
    <row r="78" spans="1:17" x14ac:dyDescent="0.2">
      <c r="B78" s="30">
        <f t="shared" si="1"/>
        <v>11636.209120183355</v>
      </c>
      <c r="C78" s="30">
        <f t="shared" ref="C78:D78" si="31">C25/1000000</f>
        <v>45653.809853431521</v>
      </c>
      <c r="D78" s="30">
        <f t="shared" si="31"/>
        <v>14463.297014053223</v>
      </c>
      <c r="E78" s="30">
        <f t="shared" ref="E78:Q78" si="32">E25/1000000</f>
        <v>16174.749428070329</v>
      </c>
      <c r="F78" s="30">
        <f t="shared" si="32"/>
        <v>0</v>
      </c>
      <c r="G78" s="30">
        <f t="shared" si="32"/>
        <v>0</v>
      </c>
      <c r="H78" s="30">
        <f t="shared" si="32"/>
        <v>15161.886179586252</v>
      </c>
      <c r="I78" s="30">
        <f t="shared" si="32"/>
        <v>58271.561852936713</v>
      </c>
      <c r="J78" s="30">
        <f t="shared" si="32"/>
        <v>21686.258760956389</v>
      </c>
      <c r="K78" s="30">
        <f t="shared" si="32"/>
        <v>16174.749428070329</v>
      </c>
      <c r="L78" s="30">
        <f t="shared" si="32"/>
        <v>0</v>
      </c>
      <c r="M78" s="30">
        <f t="shared" si="32"/>
        <v>0</v>
      </c>
      <c r="N78" s="30">
        <f t="shared" si="32"/>
        <v>7165.4045656697272</v>
      </c>
      <c r="O78" s="30">
        <f t="shared" si="32"/>
        <v>28315.220728270353</v>
      </c>
      <c r="P78" s="30">
        <f t="shared" si="32"/>
        <v>10271.40625</v>
      </c>
      <c r="Q78" s="30">
        <f t="shared" si="32"/>
        <v>16174.749428070329</v>
      </c>
    </row>
    <row r="79" spans="1:17" x14ac:dyDescent="0.2">
      <c r="B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</row>
    <row r="80" spans="1:17" x14ac:dyDescent="0.2">
      <c r="B80" s="30"/>
    </row>
    <row r="81" spans="2:2" x14ac:dyDescent="0.2">
      <c r="B81" s="30"/>
    </row>
    <row r="82" spans="2:2" x14ac:dyDescent="0.2">
      <c r="B82" s="30"/>
    </row>
    <row r="83" spans="2:2" x14ac:dyDescent="0.2">
      <c r="B83" s="30"/>
    </row>
    <row r="84" spans="2:2" x14ac:dyDescent="0.2">
      <c r="B84" s="30"/>
    </row>
    <row r="85" spans="2:2" x14ac:dyDescent="0.2">
      <c r="B85" s="30"/>
    </row>
    <row r="86" spans="2:2" x14ac:dyDescent="0.2">
      <c r="B86" s="30"/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Calculator</vt:lpstr>
      <vt:lpstr>Random Calculator Dashboard</vt:lpstr>
      <vt:lpstr>Manual Calculator Dashboard</vt:lpstr>
      <vt:lpstr>Forecast 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Hashem Znati</dc:creator>
  <cp:lastModifiedBy>Hashem Znati</cp:lastModifiedBy>
  <dcterms:created xsi:type="dcterms:W3CDTF">2023-11-15T16:34:47Z</dcterms:created>
  <dcterms:modified xsi:type="dcterms:W3CDTF">2023-11-26T23:33:24Z</dcterms:modified>
</cp:coreProperties>
</file>